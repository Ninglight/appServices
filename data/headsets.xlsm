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bourreau\OneDrive - Connexing\Marketing\appServices\data\"/>
    </mc:Choice>
  </mc:AlternateContent>
  <bookViews>
    <workbookView xWindow="0" yWindow="0" windowWidth="28800" windowHeight="12480" firstSheet="2" activeTab="3"/>
  </bookViews>
  <sheets>
    <sheet name="Source_Filaire" sheetId="4" state="hidden" r:id="rId1"/>
    <sheet name="Calcul_Filaire" sheetId="5" state="hidden" r:id="rId2"/>
    <sheet name="Menu Principal" sheetId="7" r:id="rId3"/>
    <sheet name="Tableau de bord Filaires" sheetId="6" r:id="rId4"/>
    <sheet name="Source" sheetId="1" state="hidden" r:id="rId5"/>
    <sheet name="Calcul" sheetId="2" state="hidden" r:id="rId6"/>
    <sheet name="Tableau de bord Wireless" sheetId="3" r:id="rId7"/>
  </sheets>
  <definedNames>
    <definedName name="_xlnm._FilterDatabase" localSheetId="4" hidden="1">Source!$A$1:$S$1</definedName>
    <definedName name="_xlnm._FilterDatabase" localSheetId="0" hidden="1">Source_Filaire!$A$1:$M$100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6" l="1"/>
  <c r="B17" i="6"/>
  <c r="A120" i="6" l="1"/>
  <c r="B120" i="6"/>
  <c r="C120" i="6"/>
  <c r="D120" i="6"/>
  <c r="E120" i="6"/>
  <c r="F120" i="6"/>
  <c r="G120" i="6"/>
  <c r="H120" i="6"/>
  <c r="I120" i="6"/>
  <c r="J120" i="6"/>
  <c r="K120" i="6"/>
  <c r="L120" i="6"/>
  <c r="M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H2" i="5"/>
  <c r="G2" i="5"/>
  <c r="P101" i="4" s="1"/>
  <c r="P104" i="4" l="1"/>
  <c r="P102" i="4"/>
  <c r="P103" i="4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G95" i="3"/>
  <c r="G96" i="3"/>
  <c r="G97" i="3"/>
  <c r="G98" i="3"/>
  <c r="G99" i="3"/>
  <c r="G100" i="3"/>
  <c r="A127" i="6" l="1"/>
  <c r="B127" i="6"/>
  <c r="C127" i="6"/>
  <c r="D127" i="6"/>
  <c r="E127" i="6"/>
  <c r="F127" i="6"/>
  <c r="G127" i="6"/>
  <c r="H127" i="6"/>
  <c r="I127" i="6"/>
  <c r="J127" i="6"/>
  <c r="K127" i="6"/>
  <c r="L127" i="6"/>
  <c r="M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P3" i="4"/>
  <c r="F2" i="5"/>
  <c r="O101" i="4" l="1"/>
  <c r="O102" i="4"/>
  <c r="O103" i="4"/>
  <c r="O104" i="4"/>
  <c r="Q3" i="4"/>
  <c r="Q104" i="4"/>
  <c r="Q101" i="4"/>
  <c r="R101" i="4" s="1"/>
  <c r="T101" i="4" s="1"/>
  <c r="Q102" i="4"/>
  <c r="R102" i="4" s="1"/>
  <c r="T102" i="4" s="1"/>
  <c r="Q103" i="4"/>
  <c r="R103" i="4" s="1"/>
  <c r="T103" i="4" s="1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4" i="4"/>
  <c r="O26" i="4"/>
  <c r="O38" i="4"/>
  <c r="O54" i="4"/>
  <c r="O70" i="4"/>
  <c r="O78" i="4"/>
  <c r="O82" i="4"/>
  <c r="O90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" i="4"/>
  <c r="O18" i="4"/>
  <c r="O30" i="4"/>
  <c r="O46" i="4"/>
  <c r="O58" i="4"/>
  <c r="O66" i="4"/>
  <c r="O86" i="4"/>
  <c r="O98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6" i="4"/>
  <c r="O22" i="4"/>
  <c r="O34" i="4"/>
  <c r="O42" i="4"/>
  <c r="O50" i="4"/>
  <c r="O62" i="4"/>
  <c r="O74" i="4"/>
  <c r="O94" i="4"/>
  <c r="P94" i="4"/>
  <c r="P78" i="4"/>
  <c r="P30" i="4"/>
  <c r="P62" i="4"/>
  <c r="P46" i="4"/>
  <c r="P14" i="4"/>
  <c r="P90" i="4"/>
  <c r="P74" i="4"/>
  <c r="P58" i="4"/>
  <c r="P42" i="4"/>
  <c r="P26" i="4"/>
  <c r="P10" i="4"/>
  <c r="P86" i="4"/>
  <c r="P70" i="4"/>
  <c r="P54" i="4"/>
  <c r="P38" i="4"/>
  <c r="P22" i="4"/>
  <c r="P6" i="4"/>
  <c r="P98" i="4"/>
  <c r="P82" i="4"/>
  <c r="P66" i="4"/>
  <c r="P50" i="4"/>
  <c r="P34" i="4"/>
  <c r="P18" i="4"/>
  <c r="P100" i="4"/>
  <c r="Q70" i="4"/>
  <c r="Q38" i="4"/>
  <c r="Q82" i="4"/>
  <c r="Q66" i="4"/>
  <c r="Q50" i="4"/>
  <c r="Q18" i="4"/>
  <c r="Q94" i="4"/>
  <c r="Q78" i="4"/>
  <c r="Q62" i="4"/>
  <c r="Q46" i="4"/>
  <c r="Q30" i="4"/>
  <c r="Q14" i="4"/>
  <c r="Q86" i="4"/>
  <c r="Q54" i="4"/>
  <c r="Q22" i="4"/>
  <c r="Q98" i="4"/>
  <c r="Q34" i="4"/>
  <c r="Q90" i="4"/>
  <c r="Q74" i="4"/>
  <c r="Q58" i="4"/>
  <c r="Q42" i="4"/>
  <c r="Q26" i="4"/>
  <c r="Q10" i="4"/>
  <c r="P97" i="4"/>
  <c r="P93" i="4"/>
  <c r="P89" i="4"/>
  <c r="P85" i="4"/>
  <c r="P81" i="4"/>
  <c r="P77" i="4"/>
  <c r="P73" i="4"/>
  <c r="P69" i="4"/>
  <c r="P65" i="4"/>
  <c r="P61" i="4"/>
  <c r="P57" i="4"/>
  <c r="P53" i="4"/>
  <c r="P49" i="4"/>
  <c r="P45" i="4"/>
  <c r="P41" i="4"/>
  <c r="P37" i="4"/>
  <c r="P33" i="4"/>
  <c r="P29" i="4"/>
  <c r="P25" i="4"/>
  <c r="P21" i="4"/>
  <c r="P17" i="4"/>
  <c r="P13" i="4"/>
  <c r="P9" i="4"/>
  <c r="P5" i="4"/>
  <c r="P2" i="4"/>
  <c r="P96" i="4"/>
  <c r="P92" i="4"/>
  <c r="P88" i="4"/>
  <c r="P84" i="4"/>
  <c r="P80" i="4"/>
  <c r="P76" i="4"/>
  <c r="P72" i="4"/>
  <c r="P68" i="4"/>
  <c r="P64" i="4"/>
  <c r="P60" i="4"/>
  <c r="P56" i="4"/>
  <c r="P52" i="4"/>
  <c r="P48" i="4"/>
  <c r="P44" i="4"/>
  <c r="P40" i="4"/>
  <c r="P36" i="4"/>
  <c r="P32" i="4"/>
  <c r="P28" i="4"/>
  <c r="P24" i="4"/>
  <c r="P20" i="4"/>
  <c r="P16" i="4"/>
  <c r="P12" i="4"/>
  <c r="P8" i="4"/>
  <c r="P4" i="4"/>
  <c r="P99" i="4"/>
  <c r="P95" i="4"/>
  <c r="P91" i="4"/>
  <c r="P87" i="4"/>
  <c r="P83" i="4"/>
  <c r="P79" i="4"/>
  <c r="P75" i="4"/>
  <c r="P71" i="4"/>
  <c r="P67" i="4"/>
  <c r="P63" i="4"/>
  <c r="P59" i="4"/>
  <c r="P55" i="4"/>
  <c r="P51" i="4"/>
  <c r="P47" i="4"/>
  <c r="P43" i="4"/>
  <c r="P39" i="4"/>
  <c r="P35" i="4"/>
  <c r="P31" i="4"/>
  <c r="P27" i="4"/>
  <c r="P23" i="4"/>
  <c r="P19" i="4"/>
  <c r="P15" i="4"/>
  <c r="P11" i="4"/>
  <c r="P7" i="4"/>
  <c r="Q6" i="4"/>
  <c r="Q2" i="4"/>
  <c r="Q97" i="4"/>
  <c r="Q93" i="4"/>
  <c r="Q89" i="4"/>
  <c r="Q85" i="4"/>
  <c r="Q81" i="4"/>
  <c r="Q77" i="4"/>
  <c r="Q73" i="4"/>
  <c r="Q69" i="4"/>
  <c r="Q65" i="4"/>
  <c r="Q61" i="4"/>
  <c r="Q57" i="4"/>
  <c r="Q53" i="4"/>
  <c r="Q49" i="4"/>
  <c r="Q45" i="4"/>
  <c r="Q41" i="4"/>
  <c r="Q37" i="4"/>
  <c r="Q33" i="4"/>
  <c r="Q29" i="4"/>
  <c r="Q25" i="4"/>
  <c r="Q21" i="4"/>
  <c r="Q17" i="4"/>
  <c r="Q13" i="4"/>
  <c r="Q9" i="4"/>
  <c r="Q5" i="4"/>
  <c r="Q100" i="4"/>
  <c r="Q96" i="4"/>
  <c r="Q92" i="4"/>
  <c r="Q88" i="4"/>
  <c r="Q84" i="4"/>
  <c r="Q80" i="4"/>
  <c r="Q76" i="4"/>
  <c r="Q72" i="4"/>
  <c r="Q68" i="4"/>
  <c r="Q64" i="4"/>
  <c r="Q60" i="4"/>
  <c r="Q56" i="4"/>
  <c r="Q52" i="4"/>
  <c r="Q48" i="4"/>
  <c r="Q44" i="4"/>
  <c r="Q40" i="4"/>
  <c r="Q36" i="4"/>
  <c r="Q32" i="4"/>
  <c r="Q28" i="4"/>
  <c r="Q24" i="4"/>
  <c r="Q20" i="4"/>
  <c r="Q16" i="4"/>
  <c r="Q12" i="4"/>
  <c r="Q8" i="4"/>
  <c r="Q4" i="4"/>
  <c r="Q99" i="4"/>
  <c r="Q95" i="4"/>
  <c r="Q91" i="4"/>
  <c r="Q87" i="4"/>
  <c r="Q83" i="4"/>
  <c r="Q79" i="4"/>
  <c r="Q75" i="4"/>
  <c r="Q71" i="4"/>
  <c r="Q67" i="4"/>
  <c r="Q63" i="4"/>
  <c r="Q59" i="4"/>
  <c r="Q55" i="4"/>
  <c r="Q51" i="4"/>
  <c r="Q47" i="4"/>
  <c r="Q43" i="4"/>
  <c r="Q39" i="4"/>
  <c r="Q35" i="4"/>
  <c r="Q31" i="4"/>
  <c r="Q27" i="4"/>
  <c r="Q23" i="4"/>
  <c r="Q19" i="4"/>
  <c r="Q15" i="4"/>
  <c r="Q11" i="4"/>
  <c r="Q7" i="4"/>
  <c r="O2" i="4"/>
  <c r="H2" i="2"/>
  <c r="W70" i="1" s="1"/>
  <c r="A102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A117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A119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A121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R104" i="4" l="1"/>
  <c r="T104" i="4" s="1"/>
  <c r="R3" i="4"/>
  <c r="T3" i="4" s="1"/>
  <c r="R22" i="4"/>
  <c r="T22" i="4" s="1"/>
  <c r="R66" i="4"/>
  <c r="T66" i="4" s="1"/>
  <c r="R18" i="4"/>
  <c r="T18" i="4" s="1"/>
  <c r="R82" i="4"/>
  <c r="T82" i="4" s="1"/>
  <c r="R38" i="4"/>
  <c r="T38" i="4" s="1"/>
  <c r="R85" i="4"/>
  <c r="T85" i="4" s="1"/>
  <c r="R69" i="4"/>
  <c r="T69" i="4" s="1"/>
  <c r="R26" i="4"/>
  <c r="T26" i="4" s="1"/>
  <c r="R53" i="4"/>
  <c r="T53" i="4" s="1"/>
  <c r="R37" i="4"/>
  <c r="T37" i="4" s="1"/>
  <c r="R21" i="4"/>
  <c r="T21" i="4" s="1"/>
  <c r="R5" i="4"/>
  <c r="T5" i="4" s="1"/>
  <c r="R10" i="4"/>
  <c r="T10" i="4" s="1"/>
  <c r="R88" i="4"/>
  <c r="T88" i="4" s="1"/>
  <c r="R72" i="4"/>
  <c r="T72" i="4" s="1"/>
  <c r="R56" i="4"/>
  <c r="T56" i="4" s="1"/>
  <c r="R40" i="4"/>
  <c r="T40" i="4" s="1"/>
  <c r="R24" i="4"/>
  <c r="T24" i="4" s="1"/>
  <c r="R8" i="4"/>
  <c r="T8" i="4" s="1"/>
  <c r="R91" i="4"/>
  <c r="T91" i="4" s="1"/>
  <c r="R75" i="4"/>
  <c r="T75" i="4" s="1"/>
  <c r="R59" i="4"/>
  <c r="T59" i="4" s="1"/>
  <c r="R43" i="4"/>
  <c r="T43" i="4" s="1"/>
  <c r="R27" i="4"/>
  <c r="T27" i="4" s="1"/>
  <c r="R11" i="4"/>
  <c r="T11" i="4" s="1"/>
  <c r="R62" i="4"/>
  <c r="T62" i="4" s="1"/>
  <c r="R89" i="4"/>
  <c r="T89" i="4" s="1"/>
  <c r="R73" i="4"/>
  <c r="T73" i="4" s="1"/>
  <c r="R25" i="4"/>
  <c r="T25" i="4" s="1"/>
  <c r="R9" i="4"/>
  <c r="T9" i="4" s="1"/>
  <c r="R60" i="4"/>
  <c r="T60" i="4" s="1"/>
  <c r="R44" i="4"/>
  <c r="T44" i="4" s="1"/>
  <c r="R95" i="4"/>
  <c r="T95" i="4" s="1"/>
  <c r="R63" i="4"/>
  <c r="T63" i="4" s="1"/>
  <c r="R15" i="4"/>
  <c r="T15" i="4" s="1"/>
  <c r="R94" i="4"/>
  <c r="T94" i="4" s="1"/>
  <c r="R42" i="4"/>
  <c r="T42" i="4" s="1"/>
  <c r="R97" i="4"/>
  <c r="T97" i="4" s="1"/>
  <c r="R81" i="4"/>
  <c r="T81" i="4" s="1"/>
  <c r="R65" i="4"/>
  <c r="T65" i="4" s="1"/>
  <c r="R49" i="4"/>
  <c r="T49" i="4" s="1"/>
  <c r="R33" i="4"/>
  <c r="T33" i="4" s="1"/>
  <c r="R17" i="4"/>
  <c r="T17" i="4" s="1"/>
  <c r="R98" i="4"/>
  <c r="T98" i="4" s="1"/>
  <c r="R46" i="4"/>
  <c r="T46" i="4" s="1"/>
  <c r="R100" i="4"/>
  <c r="T100" i="4" s="1"/>
  <c r="R84" i="4"/>
  <c r="T84" i="4" s="1"/>
  <c r="R68" i="4"/>
  <c r="T68" i="4" s="1"/>
  <c r="R52" i="4"/>
  <c r="T52" i="4" s="1"/>
  <c r="R36" i="4"/>
  <c r="T36" i="4" s="1"/>
  <c r="R20" i="4"/>
  <c r="T20" i="4" s="1"/>
  <c r="R4" i="4"/>
  <c r="T4" i="4" s="1"/>
  <c r="R70" i="4"/>
  <c r="T70" i="4" s="1"/>
  <c r="R14" i="4"/>
  <c r="T14" i="4" s="1"/>
  <c r="R87" i="4"/>
  <c r="T87" i="4" s="1"/>
  <c r="R71" i="4"/>
  <c r="T71" i="4" s="1"/>
  <c r="R55" i="4"/>
  <c r="T55" i="4" s="1"/>
  <c r="R39" i="4"/>
  <c r="T39" i="4" s="1"/>
  <c r="R23" i="4"/>
  <c r="T23" i="4" s="1"/>
  <c r="R7" i="4"/>
  <c r="T7" i="4" s="1"/>
  <c r="R57" i="4"/>
  <c r="T57" i="4" s="1"/>
  <c r="R41" i="4"/>
  <c r="T41" i="4" s="1"/>
  <c r="R92" i="4"/>
  <c r="T92" i="4" s="1"/>
  <c r="R76" i="4"/>
  <c r="T76" i="4" s="1"/>
  <c r="R28" i="4"/>
  <c r="T28" i="4" s="1"/>
  <c r="R12" i="4"/>
  <c r="T12" i="4" s="1"/>
  <c r="R79" i="4"/>
  <c r="T79" i="4" s="1"/>
  <c r="R47" i="4"/>
  <c r="T47" i="4" s="1"/>
  <c r="R31" i="4"/>
  <c r="T31" i="4" s="1"/>
  <c r="R50" i="4"/>
  <c r="T50" i="4" s="1"/>
  <c r="R6" i="4"/>
  <c r="T6" i="4" s="1"/>
  <c r="R58" i="4"/>
  <c r="T58" i="4" s="1"/>
  <c r="R78" i="4"/>
  <c r="T78" i="4" s="1"/>
  <c r="R74" i="4"/>
  <c r="T74" i="4" s="1"/>
  <c r="R34" i="4"/>
  <c r="T34" i="4" s="1"/>
  <c r="R93" i="4"/>
  <c r="T93" i="4" s="1"/>
  <c r="R77" i="4"/>
  <c r="T77" i="4" s="1"/>
  <c r="R61" i="4"/>
  <c r="T61" i="4" s="1"/>
  <c r="R45" i="4"/>
  <c r="T45" i="4" s="1"/>
  <c r="R29" i="4"/>
  <c r="T29" i="4" s="1"/>
  <c r="R13" i="4"/>
  <c r="T13" i="4" s="1"/>
  <c r="R86" i="4"/>
  <c r="T86" i="4" s="1"/>
  <c r="R30" i="4"/>
  <c r="T30" i="4" s="1"/>
  <c r="R96" i="4"/>
  <c r="T96" i="4" s="1"/>
  <c r="R80" i="4"/>
  <c r="T80" i="4" s="1"/>
  <c r="R64" i="4"/>
  <c r="T64" i="4" s="1"/>
  <c r="R48" i="4"/>
  <c r="T48" i="4" s="1"/>
  <c r="R32" i="4"/>
  <c r="T32" i="4" s="1"/>
  <c r="R16" i="4"/>
  <c r="T16" i="4" s="1"/>
  <c r="R90" i="4"/>
  <c r="T90" i="4" s="1"/>
  <c r="R54" i="4"/>
  <c r="T54" i="4" s="1"/>
  <c r="R99" i="4"/>
  <c r="T99" i="4" s="1"/>
  <c r="R83" i="4"/>
  <c r="T83" i="4" s="1"/>
  <c r="R67" i="4"/>
  <c r="T67" i="4" s="1"/>
  <c r="R51" i="4"/>
  <c r="T51" i="4" s="1"/>
  <c r="R35" i="4"/>
  <c r="T35" i="4" s="1"/>
  <c r="R19" i="4"/>
  <c r="T19" i="4" s="1"/>
  <c r="R2" i="4"/>
  <c r="T2" i="4" s="1"/>
  <c r="W84" i="1"/>
  <c r="W77" i="1"/>
  <c r="W85" i="1"/>
  <c r="W76" i="1"/>
  <c r="W81" i="1"/>
  <c r="W73" i="1"/>
  <c r="W80" i="1"/>
  <c r="W72" i="1"/>
  <c r="W83" i="1"/>
  <c r="W79" i="1"/>
  <c r="W75" i="1"/>
  <c r="W71" i="1"/>
  <c r="W86" i="1"/>
  <c r="W82" i="1"/>
  <c r="W78" i="1"/>
  <c r="W74" i="1"/>
  <c r="G2" i="2"/>
  <c r="F2" i="2"/>
  <c r="U6" i="4" l="1"/>
  <c r="U10" i="4"/>
  <c r="U14" i="4"/>
  <c r="U18" i="4"/>
  <c r="U22" i="4"/>
  <c r="U26" i="4"/>
  <c r="U30" i="4"/>
  <c r="U34" i="4"/>
  <c r="U38" i="4"/>
  <c r="U42" i="4"/>
  <c r="U46" i="4"/>
  <c r="U50" i="4"/>
  <c r="U54" i="4"/>
  <c r="U58" i="4"/>
  <c r="U62" i="4"/>
  <c r="U66" i="4"/>
  <c r="U70" i="4"/>
  <c r="U74" i="4"/>
  <c r="U78" i="4"/>
  <c r="U82" i="4"/>
  <c r="U86" i="4"/>
  <c r="U90" i="4"/>
  <c r="U94" i="4"/>
  <c r="U98" i="4"/>
  <c r="U102" i="4"/>
  <c r="U25" i="4"/>
  <c r="U37" i="4"/>
  <c r="U49" i="4"/>
  <c r="U61" i="4"/>
  <c r="U73" i="4"/>
  <c r="U85" i="4"/>
  <c r="U93" i="4"/>
  <c r="U2" i="4"/>
  <c r="U3" i="4"/>
  <c r="U7" i="4"/>
  <c r="U11" i="4"/>
  <c r="U15" i="4"/>
  <c r="U19" i="4"/>
  <c r="U23" i="4"/>
  <c r="U27" i="4"/>
  <c r="U31" i="4"/>
  <c r="U35" i="4"/>
  <c r="U39" i="4"/>
  <c r="U43" i="4"/>
  <c r="U47" i="4"/>
  <c r="U51" i="4"/>
  <c r="U55" i="4"/>
  <c r="U59" i="4"/>
  <c r="U63" i="4"/>
  <c r="U67" i="4"/>
  <c r="U71" i="4"/>
  <c r="U75" i="4"/>
  <c r="U79" i="4"/>
  <c r="U83" i="4"/>
  <c r="U87" i="4"/>
  <c r="U91" i="4"/>
  <c r="U95" i="4"/>
  <c r="U99" i="4"/>
  <c r="U103" i="4"/>
  <c r="U21" i="4"/>
  <c r="U33" i="4"/>
  <c r="U45" i="4"/>
  <c r="U57" i="4"/>
  <c r="U69" i="4"/>
  <c r="U81" i="4"/>
  <c r="U97" i="4"/>
  <c r="U4" i="4"/>
  <c r="U8" i="4"/>
  <c r="U12" i="4"/>
  <c r="U16" i="4"/>
  <c r="U20" i="4"/>
  <c r="U24" i="4"/>
  <c r="U28" i="4"/>
  <c r="U32" i="4"/>
  <c r="U36" i="4"/>
  <c r="U40" i="4"/>
  <c r="U44" i="4"/>
  <c r="U48" i="4"/>
  <c r="U52" i="4"/>
  <c r="U56" i="4"/>
  <c r="U60" i="4"/>
  <c r="U64" i="4"/>
  <c r="U68" i="4"/>
  <c r="U72" i="4"/>
  <c r="U76" i="4"/>
  <c r="U80" i="4"/>
  <c r="U84" i="4"/>
  <c r="U88" i="4"/>
  <c r="U92" i="4"/>
  <c r="U96" i="4"/>
  <c r="U100" i="4"/>
  <c r="U104" i="4"/>
  <c r="U17" i="4"/>
  <c r="U29" i="4"/>
  <c r="U41" i="4"/>
  <c r="U53" i="4"/>
  <c r="U65" i="4"/>
  <c r="U77" i="4"/>
  <c r="U89" i="4"/>
  <c r="U101" i="4"/>
  <c r="U5" i="4"/>
  <c r="U9" i="4"/>
  <c r="U13" i="4"/>
  <c r="V73" i="1"/>
  <c r="V77" i="1"/>
  <c r="V81" i="1"/>
  <c r="V85" i="1"/>
  <c r="V76" i="1"/>
  <c r="V84" i="1"/>
  <c r="V70" i="1"/>
  <c r="V74" i="1"/>
  <c r="V78" i="1"/>
  <c r="V82" i="1"/>
  <c r="V86" i="1"/>
  <c r="V80" i="1"/>
  <c r="V71" i="1"/>
  <c r="V75" i="1"/>
  <c r="V79" i="1"/>
  <c r="V83" i="1"/>
  <c r="V72" i="1"/>
  <c r="U70" i="1"/>
  <c r="U74" i="1"/>
  <c r="U78" i="1"/>
  <c r="U82" i="1"/>
  <c r="U86" i="1"/>
  <c r="U77" i="1"/>
  <c r="X77" i="1" s="1"/>
  <c r="Z77" i="1" s="1"/>
  <c r="U81" i="1"/>
  <c r="U71" i="1"/>
  <c r="U75" i="1"/>
  <c r="U79" i="1"/>
  <c r="U83" i="1"/>
  <c r="U72" i="1"/>
  <c r="U76" i="1"/>
  <c r="U80" i="1"/>
  <c r="U84" i="1"/>
  <c r="U73" i="1"/>
  <c r="X73" i="1" s="1"/>
  <c r="Z73" i="1" s="1"/>
  <c r="U85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W55" i="1"/>
  <c r="W59" i="1"/>
  <c r="W63" i="1"/>
  <c r="W67" i="1"/>
  <c r="W10" i="1"/>
  <c r="W22" i="1"/>
  <c r="W34" i="1"/>
  <c r="W46" i="1"/>
  <c r="W58" i="1"/>
  <c r="W2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14" i="1"/>
  <c r="W26" i="1"/>
  <c r="W38" i="1"/>
  <c r="W50" i="1"/>
  <c r="W62" i="1"/>
  <c r="W5" i="1"/>
  <c r="W9" i="1"/>
  <c r="W13" i="1"/>
  <c r="W17" i="1"/>
  <c r="W21" i="1"/>
  <c r="W25" i="1"/>
  <c r="W29" i="1"/>
  <c r="W33" i="1"/>
  <c r="W37" i="1"/>
  <c r="W41" i="1"/>
  <c r="W45" i="1"/>
  <c r="W49" i="1"/>
  <c r="W53" i="1"/>
  <c r="W57" i="1"/>
  <c r="W61" i="1"/>
  <c r="W65" i="1"/>
  <c r="W69" i="1"/>
  <c r="W6" i="1"/>
  <c r="W18" i="1"/>
  <c r="W30" i="1"/>
  <c r="W42" i="1"/>
  <c r="W54" i="1"/>
  <c r="W66" i="1"/>
  <c r="V3" i="1"/>
  <c r="V7" i="1"/>
  <c r="V11" i="1"/>
  <c r="V15" i="1"/>
  <c r="V19" i="1"/>
  <c r="V23" i="1"/>
  <c r="V27" i="1"/>
  <c r="V31" i="1"/>
  <c r="V35" i="1"/>
  <c r="V39" i="1"/>
  <c r="V43" i="1"/>
  <c r="V47" i="1"/>
  <c r="V51" i="1"/>
  <c r="V55" i="1"/>
  <c r="V59" i="1"/>
  <c r="V63" i="1"/>
  <c r="V67" i="1"/>
  <c r="V9" i="1"/>
  <c r="V13" i="1"/>
  <c r="V21" i="1"/>
  <c r="V29" i="1"/>
  <c r="V37" i="1"/>
  <c r="V41" i="1"/>
  <c r="V49" i="1"/>
  <c r="V57" i="1"/>
  <c r="V65" i="1"/>
  <c r="V69" i="1"/>
  <c r="V10" i="1"/>
  <c r="V22" i="1"/>
  <c r="V30" i="1"/>
  <c r="V38" i="1"/>
  <c r="V46" i="1"/>
  <c r="V54" i="1"/>
  <c r="V62" i="1"/>
  <c r="V2" i="1"/>
  <c r="V4" i="1"/>
  <c r="V8" i="1"/>
  <c r="V12" i="1"/>
  <c r="V16" i="1"/>
  <c r="V20" i="1"/>
  <c r="V24" i="1"/>
  <c r="V28" i="1"/>
  <c r="V32" i="1"/>
  <c r="V36" i="1"/>
  <c r="V40" i="1"/>
  <c r="V44" i="1"/>
  <c r="V48" i="1"/>
  <c r="V52" i="1"/>
  <c r="V56" i="1"/>
  <c r="V60" i="1"/>
  <c r="V64" i="1"/>
  <c r="V68" i="1"/>
  <c r="V5" i="1"/>
  <c r="V17" i="1"/>
  <c r="V25" i="1"/>
  <c r="V33" i="1"/>
  <c r="V45" i="1"/>
  <c r="V53" i="1"/>
  <c r="V61" i="1"/>
  <c r="V6" i="1"/>
  <c r="V14" i="1"/>
  <c r="V18" i="1"/>
  <c r="V26" i="1"/>
  <c r="V34" i="1"/>
  <c r="V42" i="1"/>
  <c r="V50" i="1"/>
  <c r="V58" i="1"/>
  <c r="V66" i="1"/>
  <c r="U3" i="1"/>
  <c r="U7" i="1"/>
  <c r="U11" i="1"/>
  <c r="U15" i="1"/>
  <c r="U19" i="1"/>
  <c r="U23" i="1"/>
  <c r="U27" i="1"/>
  <c r="U31" i="1"/>
  <c r="U35" i="1"/>
  <c r="U39" i="1"/>
  <c r="U43" i="1"/>
  <c r="U47" i="1"/>
  <c r="U51" i="1"/>
  <c r="U55" i="1"/>
  <c r="U59" i="1"/>
  <c r="U63" i="1"/>
  <c r="U67" i="1"/>
  <c r="U14" i="1"/>
  <c r="U26" i="1"/>
  <c r="U38" i="1"/>
  <c r="U54" i="1"/>
  <c r="U62" i="1"/>
  <c r="U4" i="1"/>
  <c r="U8" i="1"/>
  <c r="U12" i="1"/>
  <c r="U16" i="1"/>
  <c r="U20" i="1"/>
  <c r="U24" i="1"/>
  <c r="U28" i="1"/>
  <c r="U32" i="1"/>
  <c r="U36" i="1"/>
  <c r="U40" i="1"/>
  <c r="U44" i="1"/>
  <c r="U48" i="1"/>
  <c r="U52" i="1"/>
  <c r="U56" i="1"/>
  <c r="U60" i="1"/>
  <c r="U64" i="1"/>
  <c r="U68" i="1"/>
  <c r="U10" i="1"/>
  <c r="U22" i="1"/>
  <c r="U30" i="1"/>
  <c r="U42" i="1"/>
  <c r="U50" i="1"/>
  <c r="U2" i="1"/>
  <c r="U5" i="1"/>
  <c r="U9" i="1"/>
  <c r="U13" i="1"/>
  <c r="U17" i="1"/>
  <c r="U21" i="1"/>
  <c r="U25" i="1"/>
  <c r="U29" i="1"/>
  <c r="U33" i="1"/>
  <c r="U37" i="1"/>
  <c r="U41" i="1"/>
  <c r="U45" i="1"/>
  <c r="U49" i="1"/>
  <c r="U53" i="1"/>
  <c r="U57" i="1"/>
  <c r="U61" i="1"/>
  <c r="U65" i="1"/>
  <c r="U69" i="1"/>
  <c r="U6" i="1"/>
  <c r="U18" i="1"/>
  <c r="U34" i="1"/>
  <c r="U46" i="1"/>
  <c r="U58" i="1"/>
  <c r="U66" i="1"/>
  <c r="I116" i="6" l="1"/>
  <c r="M116" i="6"/>
  <c r="J116" i="6"/>
  <c r="K116" i="6"/>
  <c r="G116" i="6"/>
  <c r="L116" i="6"/>
  <c r="H116" i="6"/>
  <c r="J103" i="6"/>
  <c r="K103" i="6"/>
  <c r="H103" i="6"/>
  <c r="L103" i="6"/>
  <c r="M103" i="6"/>
  <c r="G103" i="6"/>
  <c r="I103" i="6"/>
  <c r="K55" i="6"/>
  <c r="H55" i="6"/>
  <c r="L55" i="6"/>
  <c r="I55" i="6"/>
  <c r="M55" i="6"/>
  <c r="J55" i="6"/>
  <c r="G55" i="6"/>
  <c r="H84" i="6"/>
  <c r="L84" i="6"/>
  <c r="I84" i="6"/>
  <c r="M84" i="6"/>
  <c r="J84" i="6"/>
  <c r="G84" i="6"/>
  <c r="K84" i="6"/>
  <c r="H90" i="6"/>
  <c r="L90" i="6"/>
  <c r="I90" i="6"/>
  <c r="M90" i="6"/>
  <c r="J90" i="6"/>
  <c r="G90" i="6"/>
  <c r="K90" i="6"/>
  <c r="I42" i="6"/>
  <c r="M42" i="6"/>
  <c r="J42" i="6"/>
  <c r="K42" i="6"/>
  <c r="H42" i="6"/>
  <c r="L42" i="6"/>
  <c r="G42" i="6"/>
  <c r="H108" i="6"/>
  <c r="L108" i="6"/>
  <c r="I108" i="6"/>
  <c r="M108" i="6"/>
  <c r="J108" i="6"/>
  <c r="G108" i="6"/>
  <c r="K108" i="6"/>
  <c r="J97" i="6"/>
  <c r="K97" i="6"/>
  <c r="H97" i="6"/>
  <c r="L97" i="6"/>
  <c r="I97" i="6"/>
  <c r="G97" i="6"/>
  <c r="M97" i="6"/>
  <c r="K33" i="6"/>
  <c r="H33" i="6"/>
  <c r="L33" i="6"/>
  <c r="I33" i="6"/>
  <c r="M33" i="6"/>
  <c r="J33" i="6"/>
  <c r="G33" i="6"/>
  <c r="I28" i="6"/>
  <c r="M28" i="6"/>
  <c r="J28" i="6"/>
  <c r="K28" i="6"/>
  <c r="H28" i="6"/>
  <c r="L28" i="6"/>
  <c r="G28" i="6"/>
  <c r="H104" i="6"/>
  <c r="L104" i="6"/>
  <c r="I104" i="6"/>
  <c r="M104" i="6"/>
  <c r="J104" i="6"/>
  <c r="K104" i="6"/>
  <c r="G104" i="6"/>
  <c r="I56" i="6"/>
  <c r="M56" i="6"/>
  <c r="J56" i="6"/>
  <c r="K56" i="6"/>
  <c r="L56" i="6"/>
  <c r="G56" i="6"/>
  <c r="H56" i="6"/>
  <c r="K115" i="6"/>
  <c r="H115" i="6"/>
  <c r="L115" i="6"/>
  <c r="I115" i="6"/>
  <c r="J115" i="6"/>
  <c r="M115" i="6"/>
  <c r="G115" i="6"/>
  <c r="J99" i="6"/>
  <c r="K99" i="6"/>
  <c r="H99" i="6"/>
  <c r="L99" i="6"/>
  <c r="I99" i="6"/>
  <c r="M99" i="6"/>
  <c r="G99" i="6"/>
  <c r="J83" i="6"/>
  <c r="K83" i="6"/>
  <c r="H83" i="6"/>
  <c r="L83" i="6"/>
  <c r="I83" i="6"/>
  <c r="M83" i="6"/>
  <c r="G83" i="6"/>
  <c r="K67" i="6"/>
  <c r="H67" i="6"/>
  <c r="L67" i="6"/>
  <c r="I67" i="6"/>
  <c r="M67" i="6"/>
  <c r="J67" i="6"/>
  <c r="G67" i="6"/>
  <c r="K51" i="6"/>
  <c r="H51" i="6"/>
  <c r="L51" i="6"/>
  <c r="I51" i="6"/>
  <c r="M51" i="6"/>
  <c r="J51" i="6"/>
  <c r="G51" i="6"/>
  <c r="K35" i="6"/>
  <c r="H35" i="6"/>
  <c r="L35" i="6"/>
  <c r="I35" i="6"/>
  <c r="M35" i="6"/>
  <c r="J35" i="6"/>
  <c r="G35" i="6"/>
  <c r="I19" i="6"/>
  <c r="M19" i="6"/>
  <c r="J19" i="6"/>
  <c r="G19" i="6"/>
  <c r="K19" i="6"/>
  <c r="L19" i="6"/>
  <c r="H19" i="6"/>
  <c r="I72" i="6"/>
  <c r="J72" i="6"/>
  <c r="K72" i="6"/>
  <c r="L72" i="6"/>
  <c r="M72" i="6"/>
  <c r="H72" i="6"/>
  <c r="G72" i="6"/>
  <c r="I118" i="6"/>
  <c r="J118" i="6"/>
  <c r="K118" i="6"/>
  <c r="L118" i="6"/>
  <c r="G118" i="6"/>
  <c r="H118" i="6"/>
  <c r="M118" i="6"/>
  <c r="H102" i="6"/>
  <c r="L102" i="6"/>
  <c r="I102" i="6"/>
  <c r="M102" i="6"/>
  <c r="J102" i="6"/>
  <c r="K102" i="6"/>
  <c r="G102" i="6"/>
  <c r="H86" i="6"/>
  <c r="L86" i="6"/>
  <c r="I86" i="6"/>
  <c r="M86" i="6"/>
  <c r="J86" i="6"/>
  <c r="K86" i="6"/>
  <c r="G86" i="6"/>
  <c r="I70" i="6"/>
  <c r="M70" i="6"/>
  <c r="J70" i="6"/>
  <c r="K70" i="6"/>
  <c r="H70" i="6"/>
  <c r="L70" i="6"/>
  <c r="G70" i="6"/>
  <c r="I54" i="6"/>
  <c r="M54" i="6"/>
  <c r="J54" i="6"/>
  <c r="K54" i="6"/>
  <c r="H54" i="6"/>
  <c r="L54" i="6"/>
  <c r="G54" i="6"/>
  <c r="I38" i="6"/>
  <c r="M38" i="6"/>
  <c r="J38" i="6"/>
  <c r="K38" i="6"/>
  <c r="H38" i="6"/>
  <c r="L38" i="6"/>
  <c r="G38" i="6"/>
  <c r="I22" i="6"/>
  <c r="M22" i="6"/>
  <c r="J22" i="6"/>
  <c r="K22" i="6"/>
  <c r="H22" i="6"/>
  <c r="L22" i="6"/>
  <c r="H100" i="6"/>
  <c r="L100" i="6"/>
  <c r="I100" i="6"/>
  <c r="M100" i="6"/>
  <c r="J100" i="6"/>
  <c r="G100" i="6"/>
  <c r="K100" i="6"/>
  <c r="I52" i="6"/>
  <c r="M52" i="6"/>
  <c r="J52" i="6"/>
  <c r="K52" i="6"/>
  <c r="H52" i="6"/>
  <c r="L52" i="6"/>
  <c r="G52" i="6"/>
  <c r="J109" i="6"/>
  <c r="K109" i="6"/>
  <c r="H109" i="6"/>
  <c r="L109" i="6"/>
  <c r="M109" i="6"/>
  <c r="G109" i="6"/>
  <c r="I109" i="6"/>
  <c r="J93" i="6"/>
  <c r="K93" i="6"/>
  <c r="H93" i="6"/>
  <c r="L93" i="6"/>
  <c r="M93" i="6"/>
  <c r="I93" i="6"/>
  <c r="G93" i="6"/>
  <c r="J77" i="6"/>
  <c r="K77" i="6"/>
  <c r="H77" i="6"/>
  <c r="L77" i="6"/>
  <c r="M77" i="6"/>
  <c r="G77" i="6"/>
  <c r="I77" i="6"/>
  <c r="K61" i="6"/>
  <c r="H61" i="6"/>
  <c r="L61" i="6"/>
  <c r="I61" i="6"/>
  <c r="M61" i="6"/>
  <c r="J61" i="6"/>
  <c r="G61" i="6"/>
  <c r="K45" i="6"/>
  <c r="H45" i="6"/>
  <c r="L45" i="6"/>
  <c r="I45" i="6"/>
  <c r="M45" i="6"/>
  <c r="G45" i="6"/>
  <c r="J45" i="6"/>
  <c r="K29" i="6"/>
  <c r="H29" i="6"/>
  <c r="L29" i="6"/>
  <c r="I29" i="6"/>
  <c r="M29" i="6"/>
  <c r="J29" i="6"/>
  <c r="G29" i="6"/>
  <c r="I68" i="6"/>
  <c r="M68" i="6"/>
  <c r="J68" i="6"/>
  <c r="K68" i="6"/>
  <c r="H68" i="6"/>
  <c r="L68" i="6"/>
  <c r="G68" i="6"/>
  <c r="J87" i="6"/>
  <c r="K87" i="6"/>
  <c r="H87" i="6"/>
  <c r="L87" i="6"/>
  <c r="M87" i="6"/>
  <c r="I87" i="6"/>
  <c r="G87" i="6"/>
  <c r="K39" i="6"/>
  <c r="H39" i="6"/>
  <c r="L39" i="6"/>
  <c r="I39" i="6"/>
  <c r="M39" i="6"/>
  <c r="J39" i="6"/>
  <c r="G39" i="6"/>
  <c r="I36" i="6"/>
  <c r="M36" i="6"/>
  <c r="J36" i="6"/>
  <c r="K36" i="6"/>
  <c r="H36" i="6"/>
  <c r="L36" i="6"/>
  <c r="G36" i="6"/>
  <c r="H74" i="6"/>
  <c r="L74" i="6"/>
  <c r="I74" i="6"/>
  <c r="M74" i="6"/>
  <c r="J74" i="6"/>
  <c r="G74" i="6"/>
  <c r="K74" i="6"/>
  <c r="I26" i="6"/>
  <c r="M26" i="6"/>
  <c r="J26" i="6"/>
  <c r="K26" i="6"/>
  <c r="H26" i="6"/>
  <c r="L26" i="6"/>
  <c r="G26" i="6"/>
  <c r="J113" i="6"/>
  <c r="K113" i="6"/>
  <c r="H113" i="6"/>
  <c r="L113" i="6"/>
  <c r="I113" i="6"/>
  <c r="G113" i="6"/>
  <c r="M113" i="6"/>
  <c r="K49" i="6"/>
  <c r="H49" i="6"/>
  <c r="L49" i="6"/>
  <c r="I49" i="6"/>
  <c r="M49" i="6"/>
  <c r="J49" i="6"/>
  <c r="G49" i="6"/>
  <c r="I24" i="6"/>
  <c r="M24" i="6"/>
  <c r="J24" i="6"/>
  <c r="K24" i="6"/>
  <c r="L24" i="6"/>
  <c r="G24" i="6"/>
  <c r="H24" i="6"/>
  <c r="H92" i="6"/>
  <c r="L92" i="6"/>
  <c r="I92" i="6"/>
  <c r="M92" i="6"/>
  <c r="J92" i="6"/>
  <c r="G92" i="6"/>
  <c r="K92" i="6"/>
  <c r="I44" i="6"/>
  <c r="M44" i="6"/>
  <c r="J44" i="6"/>
  <c r="K44" i="6"/>
  <c r="H44" i="6"/>
  <c r="L44" i="6"/>
  <c r="G44" i="6"/>
  <c r="J111" i="6"/>
  <c r="K111" i="6"/>
  <c r="H111" i="6"/>
  <c r="L111" i="6"/>
  <c r="M111" i="6"/>
  <c r="G111" i="6"/>
  <c r="I111" i="6"/>
  <c r="J95" i="6"/>
  <c r="K95" i="6"/>
  <c r="H95" i="6"/>
  <c r="L95" i="6"/>
  <c r="I95" i="6"/>
  <c r="M95" i="6"/>
  <c r="G95" i="6"/>
  <c r="J79" i="6"/>
  <c r="K79" i="6"/>
  <c r="H79" i="6"/>
  <c r="L79" i="6"/>
  <c r="M79" i="6"/>
  <c r="I79" i="6"/>
  <c r="G79" i="6"/>
  <c r="K63" i="6"/>
  <c r="H63" i="6"/>
  <c r="L63" i="6"/>
  <c r="I63" i="6"/>
  <c r="M63" i="6"/>
  <c r="J63" i="6"/>
  <c r="G63" i="6"/>
  <c r="K47" i="6"/>
  <c r="H47" i="6"/>
  <c r="L47" i="6"/>
  <c r="I47" i="6"/>
  <c r="M47" i="6"/>
  <c r="J47" i="6"/>
  <c r="G47" i="6"/>
  <c r="K31" i="6"/>
  <c r="H31" i="6"/>
  <c r="L31" i="6"/>
  <c r="I31" i="6"/>
  <c r="M31" i="6"/>
  <c r="J31" i="6"/>
  <c r="G31" i="6"/>
  <c r="H112" i="6"/>
  <c r="L112" i="6"/>
  <c r="I112" i="6"/>
  <c r="M112" i="6"/>
  <c r="J112" i="6"/>
  <c r="K112" i="6"/>
  <c r="G112" i="6"/>
  <c r="I60" i="6"/>
  <c r="M60" i="6"/>
  <c r="J60" i="6"/>
  <c r="K60" i="6"/>
  <c r="H60" i="6"/>
  <c r="L60" i="6"/>
  <c r="G60" i="6"/>
  <c r="H114" i="6"/>
  <c r="L114" i="6"/>
  <c r="I114" i="6"/>
  <c r="M114" i="6"/>
  <c r="J114" i="6"/>
  <c r="K114" i="6"/>
  <c r="G114" i="6"/>
  <c r="H98" i="6"/>
  <c r="L98" i="6"/>
  <c r="I98" i="6"/>
  <c r="M98" i="6"/>
  <c r="J98" i="6"/>
  <c r="K98" i="6"/>
  <c r="G98" i="6"/>
  <c r="H82" i="6"/>
  <c r="L82" i="6"/>
  <c r="I82" i="6"/>
  <c r="M82" i="6"/>
  <c r="J82" i="6"/>
  <c r="G82" i="6"/>
  <c r="K82" i="6"/>
  <c r="I66" i="6"/>
  <c r="M66" i="6"/>
  <c r="J66" i="6"/>
  <c r="K66" i="6"/>
  <c r="H66" i="6"/>
  <c r="L66" i="6"/>
  <c r="G66" i="6"/>
  <c r="I50" i="6"/>
  <c r="M50" i="6"/>
  <c r="J50" i="6"/>
  <c r="K50" i="6"/>
  <c r="H50" i="6"/>
  <c r="L50" i="6"/>
  <c r="G50" i="6"/>
  <c r="I34" i="6"/>
  <c r="M34" i="6"/>
  <c r="J34" i="6"/>
  <c r="K34" i="6"/>
  <c r="H34" i="6"/>
  <c r="L34" i="6"/>
  <c r="G34" i="6"/>
  <c r="H18" i="6"/>
  <c r="L18" i="6"/>
  <c r="I18" i="6"/>
  <c r="M18" i="6"/>
  <c r="J18" i="6"/>
  <c r="G18" i="6"/>
  <c r="K18" i="6"/>
  <c r="H88" i="6"/>
  <c r="L88" i="6"/>
  <c r="I88" i="6"/>
  <c r="M88" i="6"/>
  <c r="J88" i="6"/>
  <c r="K88" i="6"/>
  <c r="G88" i="6"/>
  <c r="I40" i="6"/>
  <c r="M40" i="6"/>
  <c r="J40" i="6"/>
  <c r="K40" i="6"/>
  <c r="L40" i="6"/>
  <c r="H40" i="6"/>
  <c r="G40" i="6"/>
  <c r="J105" i="6"/>
  <c r="K105" i="6"/>
  <c r="H105" i="6"/>
  <c r="L105" i="6"/>
  <c r="I105" i="6"/>
  <c r="G105" i="6"/>
  <c r="M105" i="6"/>
  <c r="J89" i="6"/>
  <c r="K89" i="6"/>
  <c r="H89" i="6"/>
  <c r="L89" i="6"/>
  <c r="I89" i="6"/>
  <c r="G89" i="6"/>
  <c r="M89" i="6"/>
  <c r="J73" i="6"/>
  <c r="K73" i="6"/>
  <c r="H73" i="6"/>
  <c r="L73" i="6"/>
  <c r="I73" i="6"/>
  <c r="G73" i="6"/>
  <c r="M73" i="6"/>
  <c r="K57" i="6"/>
  <c r="H57" i="6"/>
  <c r="L57" i="6"/>
  <c r="I57" i="6"/>
  <c r="M57" i="6"/>
  <c r="J57" i="6"/>
  <c r="G57" i="6"/>
  <c r="K41" i="6"/>
  <c r="H41" i="6"/>
  <c r="L41" i="6"/>
  <c r="I41" i="6"/>
  <c r="M41" i="6"/>
  <c r="J41" i="6"/>
  <c r="G41" i="6"/>
  <c r="K25" i="6"/>
  <c r="H25" i="6"/>
  <c r="L25" i="6"/>
  <c r="I25" i="6"/>
  <c r="M25" i="6"/>
  <c r="J25" i="6"/>
  <c r="G25" i="6"/>
  <c r="H119" i="6"/>
  <c r="L119" i="6"/>
  <c r="I119" i="6"/>
  <c r="M119" i="6"/>
  <c r="K119" i="6"/>
  <c r="G119" i="6"/>
  <c r="J119" i="6"/>
  <c r="K71" i="6"/>
  <c r="H71" i="6"/>
  <c r="L71" i="6"/>
  <c r="I71" i="6"/>
  <c r="M71" i="6"/>
  <c r="J71" i="6"/>
  <c r="G71" i="6"/>
  <c r="K23" i="6"/>
  <c r="H23" i="6"/>
  <c r="L23" i="6"/>
  <c r="I23" i="6"/>
  <c r="M23" i="6"/>
  <c r="J23" i="6"/>
  <c r="G23" i="6"/>
  <c r="H106" i="6"/>
  <c r="L106" i="6"/>
  <c r="I106" i="6"/>
  <c r="M106" i="6"/>
  <c r="J106" i="6"/>
  <c r="K106" i="6"/>
  <c r="G106" i="6"/>
  <c r="I58" i="6"/>
  <c r="M58" i="6"/>
  <c r="J58" i="6"/>
  <c r="K58" i="6"/>
  <c r="H58" i="6"/>
  <c r="L58" i="6"/>
  <c r="G58" i="6"/>
  <c r="I64" i="6"/>
  <c r="M64" i="6"/>
  <c r="J64" i="6"/>
  <c r="K64" i="6"/>
  <c r="L64" i="6"/>
  <c r="G64" i="6"/>
  <c r="H64" i="6"/>
  <c r="J81" i="6"/>
  <c r="K81" i="6"/>
  <c r="H81" i="6"/>
  <c r="L81" i="6"/>
  <c r="I81" i="6"/>
  <c r="G81" i="6"/>
  <c r="M81" i="6"/>
  <c r="K65" i="6"/>
  <c r="H65" i="6"/>
  <c r="L65" i="6"/>
  <c r="I65" i="6"/>
  <c r="M65" i="6"/>
  <c r="J65" i="6"/>
  <c r="G65" i="6"/>
  <c r="J20" i="6"/>
  <c r="G20" i="6"/>
  <c r="K20" i="6"/>
  <c r="H20" i="6"/>
  <c r="L20" i="6"/>
  <c r="I20" i="6"/>
  <c r="M20" i="6"/>
  <c r="H80" i="6"/>
  <c r="L80" i="6"/>
  <c r="I80" i="6"/>
  <c r="M80" i="6"/>
  <c r="J80" i="6"/>
  <c r="K80" i="6"/>
  <c r="G80" i="6"/>
  <c r="I32" i="6"/>
  <c r="M32" i="6"/>
  <c r="J32" i="6"/>
  <c r="K32" i="6"/>
  <c r="L32" i="6"/>
  <c r="H32" i="6"/>
  <c r="G32" i="6"/>
  <c r="J107" i="6"/>
  <c r="K107" i="6"/>
  <c r="H107" i="6"/>
  <c r="L107" i="6"/>
  <c r="I107" i="6"/>
  <c r="M107" i="6"/>
  <c r="G107" i="6"/>
  <c r="J91" i="6"/>
  <c r="K91" i="6"/>
  <c r="H91" i="6"/>
  <c r="L91" i="6"/>
  <c r="I91" i="6"/>
  <c r="G91" i="6"/>
  <c r="M91" i="6"/>
  <c r="J75" i="6"/>
  <c r="K75" i="6"/>
  <c r="H75" i="6"/>
  <c r="L75" i="6"/>
  <c r="I75" i="6"/>
  <c r="G75" i="6"/>
  <c r="M75" i="6"/>
  <c r="K59" i="6"/>
  <c r="H59" i="6"/>
  <c r="L59" i="6"/>
  <c r="I59" i="6"/>
  <c r="M59" i="6"/>
  <c r="J59" i="6"/>
  <c r="G59" i="6"/>
  <c r="K43" i="6"/>
  <c r="H43" i="6"/>
  <c r="L43" i="6"/>
  <c r="I43" i="6"/>
  <c r="M43" i="6"/>
  <c r="J43" i="6"/>
  <c r="G43" i="6"/>
  <c r="K27" i="6"/>
  <c r="H27" i="6"/>
  <c r="L27" i="6"/>
  <c r="I27" i="6"/>
  <c r="M27" i="6"/>
  <c r="J27" i="6"/>
  <c r="G27" i="6"/>
  <c r="H96" i="6"/>
  <c r="L96" i="6"/>
  <c r="I96" i="6"/>
  <c r="M96" i="6"/>
  <c r="J96" i="6"/>
  <c r="K96" i="6"/>
  <c r="G96" i="6"/>
  <c r="I48" i="6"/>
  <c r="M48" i="6"/>
  <c r="J48" i="6"/>
  <c r="K48" i="6"/>
  <c r="L48" i="6"/>
  <c r="G48" i="6"/>
  <c r="H48" i="6"/>
  <c r="H110" i="6"/>
  <c r="L110" i="6"/>
  <c r="I110" i="6"/>
  <c r="M110" i="6"/>
  <c r="J110" i="6"/>
  <c r="K110" i="6"/>
  <c r="G110" i="6"/>
  <c r="H94" i="6"/>
  <c r="L94" i="6"/>
  <c r="I94" i="6"/>
  <c r="M94" i="6"/>
  <c r="J94" i="6"/>
  <c r="K94" i="6"/>
  <c r="G94" i="6"/>
  <c r="H78" i="6"/>
  <c r="L78" i="6"/>
  <c r="I78" i="6"/>
  <c r="M78" i="6"/>
  <c r="J78" i="6"/>
  <c r="K78" i="6"/>
  <c r="G78" i="6"/>
  <c r="I62" i="6"/>
  <c r="M62" i="6"/>
  <c r="J62" i="6"/>
  <c r="K62" i="6"/>
  <c r="H62" i="6"/>
  <c r="L62" i="6"/>
  <c r="G62" i="6"/>
  <c r="I46" i="6"/>
  <c r="M46" i="6"/>
  <c r="J46" i="6"/>
  <c r="K46" i="6"/>
  <c r="H46" i="6"/>
  <c r="L46" i="6"/>
  <c r="G46" i="6"/>
  <c r="I30" i="6"/>
  <c r="M30" i="6"/>
  <c r="J30" i="6"/>
  <c r="K30" i="6"/>
  <c r="H30" i="6"/>
  <c r="L30" i="6"/>
  <c r="G30" i="6"/>
  <c r="G17" i="6"/>
  <c r="K17" i="6"/>
  <c r="H17" i="6"/>
  <c r="L17" i="6"/>
  <c r="I17" i="6"/>
  <c r="M17" i="6"/>
  <c r="J17" i="6"/>
  <c r="H76" i="6"/>
  <c r="L76" i="6"/>
  <c r="I76" i="6"/>
  <c r="M76" i="6"/>
  <c r="J76" i="6"/>
  <c r="G76" i="6"/>
  <c r="K76" i="6"/>
  <c r="K117" i="6"/>
  <c r="J117" i="6"/>
  <c r="L117" i="6"/>
  <c r="G117" i="6"/>
  <c r="H117" i="6"/>
  <c r="M117" i="6"/>
  <c r="I117" i="6"/>
  <c r="J101" i="6"/>
  <c r="K101" i="6"/>
  <c r="H101" i="6"/>
  <c r="L101" i="6"/>
  <c r="M101" i="6"/>
  <c r="G101" i="6"/>
  <c r="I101" i="6"/>
  <c r="J85" i="6"/>
  <c r="K85" i="6"/>
  <c r="H85" i="6"/>
  <c r="L85" i="6"/>
  <c r="M85" i="6"/>
  <c r="I85" i="6"/>
  <c r="G85" i="6"/>
  <c r="K69" i="6"/>
  <c r="H69" i="6"/>
  <c r="L69" i="6"/>
  <c r="I69" i="6"/>
  <c r="M69" i="6"/>
  <c r="J69" i="6"/>
  <c r="G69" i="6"/>
  <c r="K53" i="6"/>
  <c r="H53" i="6"/>
  <c r="L53" i="6"/>
  <c r="I53" i="6"/>
  <c r="M53" i="6"/>
  <c r="J53" i="6"/>
  <c r="G53" i="6"/>
  <c r="K37" i="6"/>
  <c r="H37" i="6"/>
  <c r="L37" i="6"/>
  <c r="I37" i="6"/>
  <c r="M37" i="6"/>
  <c r="J37" i="6"/>
  <c r="G37" i="6"/>
  <c r="G21" i="6"/>
  <c r="K21" i="6"/>
  <c r="H21" i="6"/>
  <c r="L21" i="6"/>
  <c r="I21" i="6"/>
  <c r="M21" i="6"/>
  <c r="J21" i="6"/>
  <c r="C116" i="6"/>
  <c r="D116" i="6"/>
  <c r="B116" i="6"/>
  <c r="E116" i="6"/>
  <c r="F116" i="6"/>
  <c r="A116" i="6"/>
  <c r="A68" i="6"/>
  <c r="E68" i="6"/>
  <c r="F68" i="6"/>
  <c r="B68" i="6"/>
  <c r="C68" i="6"/>
  <c r="D68" i="6"/>
  <c r="A119" i="6"/>
  <c r="E119" i="6"/>
  <c r="B119" i="6"/>
  <c r="F119" i="6"/>
  <c r="C119" i="6"/>
  <c r="D119" i="6"/>
  <c r="B103" i="6"/>
  <c r="F103" i="6"/>
  <c r="C103" i="6"/>
  <c r="D103" i="6"/>
  <c r="A103" i="6"/>
  <c r="E103" i="6"/>
  <c r="A87" i="6"/>
  <c r="E87" i="6"/>
  <c r="B87" i="6"/>
  <c r="F87" i="6"/>
  <c r="C87" i="6"/>
  <c r="D87" i="6"/>
  <c r="B71" i="6"/>
  <c r="F71" i="6"/>
  <c r="E71" i="6"/>
  <c r="A71" i="6"/>
  <c r="C71" i="6"/>
  <c r="D71" i="6"/>
  <c r="B55" i="6"/>
  <c r="F55" i="6"/>
  <c r="D55" i="6"/>
  <c r="E55" i="6"/>
  <c r="A55" i="6"/>
  <c r="C55" i="6"/>
  <c r="A39" i="6"/>
  <c r="E39" i="6"/>
  <c r="F39" i="6"/>
  <c r="B39" i="6"/>
  <c r="C39" i="6"/>
  <c r="D39" i="6"/>
  <c r="D23" i="6"/>
  <c r="A23" i="6"/>
  <c r="E23" i="6"/>
  <c r="B23" i="6"/>
  <c r="C23" i="6"/>
  <c r="F23" i="6"/>
  <c r="D84" i="6"/>
  <c r="A84" i="6"/>
  <c r="E84" i="6"/>
  <c r="B84" i="6"/>
  <c r="F84" i="6"/>
  <c r="C84" i="6"/>
  <c r="D36" i="6"/>
  <c r="B36" i="6"/>
  <c r="C36" i="6"/>
  <c r="E36" i="6"/>
  <c r="F36" i="6"/>
  <c r="A36" i="6"/>
  <c r="C106" i="6"/>
  <c r="D106" i="6"/>
  <c r="A106" i="6"/>
  <c r="E106" i="6"/>
  <c r="B106" i="6"/>
  <c r="F106" i="6"/>
  <c r="C90" i="6"/>
  <c r="D90" i="6"/>
  <c r="A90" i="6"/>
  <c r="E90" i="6"/>
  <c r="B90" i="6"/>
  <c r="F90" i="6"/>
  <c r="C74" i="6"/>
  <c r="D74" i="6"/>
  <c r="E74" i="6"/>
  <c r="A74" i="6"/>
  <c r="F74" i="6"/>
  <c r="B74" i="6"/>
  <c r="C58" i="6"/>
  <c r="B58" i="6"/>
  <c r="D58" i="6"/>
  <c r="E58" i="6"/>
  <c r="F58" i="6"/>
  <c r="A58" i="6"/>
  <c r="B42" i="6"/>
  <c r="F42" i="6"/>
  <c r="D42" i="6"/>
  <c r="E42" i="6"/>
  <c r="A42" i="6"/>
  <c r="C42" i="6"/>
  <c r="A26" i="6"/>
  <c r="E26" i="6"/>
  <c r="B26" i="6"/>
  <c r="F26" i="6"/>
  <c r="C26" i="6"/>
  <c r="D26" i="6"/>
  <c r="A108" i="6"/>
  <c r="E108" i="6"/>
  <c r="B108" i="6"/>
  <c r="F108" i="6"/>
  <c r="C108" i="6"/>
  <c r="D108" i="6"/>
  <c r="A64" i="6"/>
  <c r="E64" i="6"/>
  <c r="D64" i="6"/>
  <c r="F64" i="6"/>
  <c r="B64" i="6"/>
  <c r="C64" i="6"/>
  <c r="D113" i="6"/>
  <c r="A113" i="6"/>
  <c r="E113" i="6"/>
  <c r="B113" i="6"/>
  <c r="F113" i="6"/>
  <c r="C113" i="6"/>
  <c r="D97" i="6"/>
  <c r="A97" i="6"/>
  <c r="E97" i="6"/>
  <c r="B97" i="6"/>
  <c r="F97" i="6"/>
  <c r="C97" i="6"/>
  <c r="C81" i="6"/>
  <c r="D81" i="6"/>
  <c r="A81" i="6"/>
  <c r="E81" i="6"/>
  <c r="B81" i="6"/>
  <c r="F81" i="6"/>
  <c r="D65" i="6"/>
  <c r="B65" i="6"/>
  <c r="C65" i="6"/>
  <c r="A65" i="6"/>
  <c r="E65" i="6"/>
  <c r="F65" i="6"/>
  <c r="C49" i="6"/>
  <c r="D49" i="6"/>
  <c r="E49" i="6"/>
  <c r="F49" i="6"/>
  <c r="A49" i="6"/>
  <c r="B49" i="6"/>
  <c r="C33" i="6"/>
  <c r="D33" i="6"/>
  <c r="E33" i="6"/>
  <c r="A33" i="6"/>
  <c r="B33" i="6"/>
  <c r="F33" i="6"/>
  <c r="C28" i="6"/>
  <c r="D28" i="6"/>
  <c r="A28" i="6"/>
  <c r="B28" i="6"/>
  <c r="E28" i="6"/>
  <c r="F28" i="6"/>
  <c r="A104" i="6"/>
  <c r="E104" i="6"/>
  <c r="B104" i="6"/>
  <c r="F104" i="6"/>
  <c r="C104" i="6"/>
  <c r="D104" i="6"/>
  <c r="A56" i="6"/>
  <c r="E56" i="6"/>
  <c r="B56" i="6"/>
  <c r="C56" i="6"/>
  <c r="D56" i="6"/>
  <c r="F56" i="6"/>
  <c r="B115" i="6"/>
  <c r="F115" i="6"/>
  <c r="C115" i="6"/>
  <c r="D115" i="6"/>
  <c r="A115" i="6"/>
  <c r="E115" i="6"/>
  <c r="B99" i="6"/>
  <c r="F99" i="6"/>
  <c r="C99" i="6"/>
  <c r="D99" i="6"/>
  <c r="A99" i="6"/>
  <c r="E99" i="6"/>
  <c r="A83" i="6"/>
  <c r="E83" i="6"/>
  <c r="B83" i="6"/>
  <c r="F83" i="6"/>
  <c r="C83" i="6"/>
  <c r="D83" i="6"/>
  <c r="B67" i="6"/>
  <c r="F67" i="6"/>
  <c r="C67" i="6"/>
  <c r="D67" i="6"/>
  <c r="E67" i="6"/>
  <c r="A67" i="6"/>
  <c r="A51" i="6"/>
  <c r="E51" i="6"/>
  <c r="B51" i="6"/>
  <c r="F51" i="6"/>
  <c r="D51" i="6"/>
  <c r="C51" i="6"/>
  <c r="A35" i="6"/>
  <c r="E35" i="6"/>
  <c r="D35" i="6"/>
  <c r="F35" i="6"/>
  <c r="B35" i="6"/>
  <c r="C35" i="6"/>
  <c r="D19" i="6"/>
  <c r="A19" i="6"/>
  <c r="E19" i="6"/>
  <c r="F19" i="6"/>
  <c r="B19" i="6"/>
  <c r="C19" i="6"/>
  <c r="A72" i="6"/>
  <c r="E72" i="6"/>
  <c r="C72" i="6"/>
  <c r="D72" i="6"/>
  <c r="F72" i="6"/>
  <c r="B72" i="6"/>
  <c r="B118" i="6"/>
  <c r="F118" i="6"/>
  <c r="C118" i="6"/>
  <c r="D118" i="6"/>
  <c r="A118" i="6"/>
  <c r="E118" i="6"/>
  <c r="C102" i="6"/>
  <c r="D102" i="6"/>
  <c r="A102" i="6"/>
  <c r="E102" i="6"/>
  <c r="B102" i="6"/>
  <c r="F102" i="6"/>
  <c r="B86" i="6"/>
  <c r="F86" i="6"/>
  <c r="C86" i="6"/>
  <c r="D86" i="6"/>
  <c r="A86" i="6"/>
  <c r="E86" i="6"/>
  <c r="C70" i="6"/>
  <c r="A70" i="6"/>
  <c r="B70" i="6"/>
  <c r="F70" i="6"/>
  <c r="D70" i="6"/>
  <c r="E70" i="6"/>
  <c r="C54" i="6"/>
  <c r="A54" i="6"/>
  <c r="F54" i="6"/>
  <c r="B54" i="6"/>
  <c r="D54" i="6"/>
  <c r="E54" i="6"/>
  <c r="B38" i="6"/>
  <c r="F38" i="6"/>
  <c r="C38" i="6"/>
  <c r="D38" i="6"/>
  <c r="A38" i="6"/>
  <c r="E38" i="6"/>
  <c r="A22" i="6"/>
  <c r="E22" i="6"/>
  <c r="B22" i="6"/>
  <c r="F22" i="6"/>
  <c r="G22" i="6"/>
  <c r="C22" i="6"/>
  <c r="D22" i="6"/>
  <c r="A100" i="6"/>
  <c r="E100" i="6"/>
  <c r="B100" i="6"/>
  <c r="F100" i="6"/>
  <c r="C100" i="6"/>
  <c r="D100" i="6"/>
  <c r="A52" i="6"/>
  <c r="E52" i="6"/>
  <c r="F52" i="6"/>
  <c r="B52" i="6"/>
  <c r="C52" i="6"/>
  <c r="D52" i="6"/>
  <c r="D109" i="6"/>
  <c r="A109" i="6"/>
  <c r="E109" i="6"/>
  <c r="B109" i="6"/>
  <c r="F109" i="6"/>
  <c r="C109" i="6"/>
  <c r="D93" i="6"/>
  <c r="A93" i="6"/>
  <c r="E93" i="6"/>
  <c r="B93" i="6"/>
  <c r="F93" i="6"/>
  <c r="C93" i="6"/>
  <c r="D77" i="6"/>
  <c r="B77" i="6"/>
  <c r="C77" i="6"/>
  <c r="E77" i="6"/>
  <c r="A77" i="6"/>
  <c r="F77" i="6"/>
  <c r="D61" i="6"/>
  <c r="A61" i="6"/>
  <c r="F61" i="6"/>
  <c r="B61" i="6"/>
  <c r="C61" i="6"/>
  <c r="E61" i="6"/>
  <c r="C45" i="6"/>
  <c r="D45" i="6"/>
  <c r="A45" i="6"/>
  <c r="B45" i="6"/>
  <c r="E45" i="6"/>
  <c r="F45" i="6"/>
  <c r="B29" i="6"/>
  <c r="F29" i="6"/>
  <c r="C29" i="6"/>
  <c r="D29" i="6"/>
  <c r="E29" i="6"/>
  <c r="A29" i="6"/>
  <c r="C24" i="6"/>
  <c r="D24" i="6"/>
  <c r="E24" i="6"/>
  <c r="F24" i="6"/>
  <c r="A24" i="6"/>
  <c r="B24" i="6"/>
  <c r="A92" i="6"/>
  <c r="E92" i="6"/>
  <c r="B92" i="6"/>
  <c r="F92" i="6"/>
  <c r="C92" i="6"/>
  <c r="D92" i="6"/>
  <c r="D44" i="6"/>
  <c r="A44" i="6"/>
  <c r="E44" i="6"/>
  <c r="F44" i="6"/>
  <c r="B44" i="6"/>
  <c r="C44" i="6"/>
  <c r="B111" i="6"/>
  <c r="F111" i="6"/>
  <c r="C111" i="6"/>
  <c r="D111" i="6"/>
  <c r="A111" i="6"/>
  <c r="E111" i="6"/>
  <c r="B95" i="6"/>
  <c r="F95" i="6"/>
  <c r="C95" i="6"/>
  <c r="D95" i="6"/>
  <c r="A95" i="6"/>
  <c r="E95" i="6"/>
  <c r="B79" i="6"/>
  <c r="F79" i="6"/>
  <c r="C79" i="6"/>
  <c r="D79" i="6"/>
  <c r="E79" i="6"/>
  <c r="A79" i="6"/>
  <c r="B63" i="6"/>
  <c r="F63" i="6"/>
  <c r="A63" i="6"/>
  <c r="C63" i="6"/>
  <c r="D63" i="6"/>
  <c r="E63" i="6"/>
  <c r="A47" i="6"/>
  <c r="E47" i="6"/>
  <c r="B47" i="6"/>
  <c r="F47" i="6"/>
  <c r="C47" i="6"/>
  <c r="D47" i="6"/>
  <c r="A31" i="6"/>
  <c r="E31" i="6"/>
  <c r="C31" i="6"/>
  <c r="D31" i="6"/>
  <c r="F31" i="6"/>
  <c r="B31" i="6"/>
  <c r="A112" i="6"/>
  <c r="E112" i="6"/>
  <c r="B112" i="6"/>
  <c r="F112" i="6"/>
  <c r="C112" i="6"/>
  <c r="D112" i="6"/>
  <c r="A60" i="6"/>
  <c r="E60" i="6"/>
  <c r="C60" i="6"/>
  <c r="D60" i="6"/>
  <c r="B60" i="6"/>
  <c r="F60" i="6"/>
  <c r="C114" i="6"/>
  <c r="D114" i="6"/>
  <c r="A114" i="6"/>
  <c r="E114" i="6"/>
  <c r="B114" i="6"/>
  <c r="F114" i="6"/>
  <c r="C98" i="6"/>
  <c r="D98" i="6"/>
  <c r="A98" i="6"/>
  <c r="E98" i="6"/>
  <c r="B98" i="6"/>
  <c r="F98" i="6"/>
  <c r="B82" i="6"/>
  <c r="F82" i="6"/>
  <c r="C82" i="6"/>
  <c r="D82" i="6"/>
  <c r="A82" i="6"/>
  <c r="E82" i="6"/>
  <c r="C66" i="6"/>
  <c r="E66" i="6"/>
  <c r="A66" i="6"/>
  <c r="F66" i="6"/>
  <c r="B66" i="6"/>
  <c r="D66" i="6"/>
  <c r="B50" i="6"/>
  <c r="F50" i="6"/>
  <c r="C50" i="6"/>
  <c r="A50" i="6"/>
  <c r="D50" i="6"/>
  <c r="E50" i="6"/>
  <c r="B34" i="6"/>
  <c r="F34" i="6"/>
  <c r="A34" i="6"/>
  <c r="C34" i="6"/>
  <c r="D34" i="6"/>
  <c r="E34" i="6"/>
  <c r="A18" i="6"/>
  <c r="E18" i="6"/>
  <c r="F18" i="6"/>
  <c r="C18" i="6"/>
  <c r="D18" i="6"/>
  <c r="D88" i="6"/>
  <c r="A88" i="6"/>
  <c r="E88" i="6"/>
  <c r="B88" i="6"/>
  <c r="F88" i="6"/>
  <c r="C88" i="6"/>
  <c r="D40" i="6"/>
  <c r="C40" i="6"/>
  <c r="E40" i="6"/>
  <c r="F40" i="6"/>
  <c r="A40" i="6"/>
  <c r="B40" i="6"/>
  <c r="D105" i="6"/>
  <c r="A105" i="6"/>
  <c r="E105" i="6"/>
  <c r="B105" i="6"/>
  <c r="F105" i="6"/>
  <c r="C105" i="6"/>
  <c r="A89" i="6"/>
  <c r="E89" i="6"/>
  <c r="B89" i="6"/>
  <c r="F89" i="6"/>
  <c r="C89" i="6"/>
  <c r="D89" i="6"/>
  <c r="D73" i="6"/>
  <c r="A73" i="6"/>
  <c r="F73" i="6"/>
  <c r="B73" i="6"/>
  <c r="C73" i="6"/>
  <c r="E73" i="6"/>
  <c r="D57" i="6"/>
  <c r="E57" i="6"/>
  <c r="A57" i="6"/>
  <c r="F57" i="6"/>
  <c r="B57" i="6"/>
  <c r="C57" i="6"/>
  <c r="C41" i="6"/>
  <c r="A41" i="6"/>
  <c r="F41" i="6"/>
  <c r="B41" i="6"/>
  <c r="D41" i="6"/>
  <c r="E41" i="6"/>
  <c r="B25" i="6"/>
  <c r="F25" i="6"/>
  <c r="C25" i="6"/>
  <c r="A25" i="6"/>
  <c r="D25" i="6"/>
  <c r="E25" i="6"/>
  <c r="C20" i="6"/>
  <c r="D20" i="6"/>
  <c r="A20" i="6"/>
  <c r="B20" i="6"/>
  <c r="E20" i="6"/>
  <c r="F20" i="6"/>
  <c r="D80" i="6"/>
  <c r="A80" i="6"/>
  <c r="E80" i="6"/>
  <c r="B80" i="6"/>
  <c r="F80" i="6"/>
  <c r="C80" i="6"/>
  <c r="D32" i="6"/>
  <c r="A32" i="6"/>
  <c r="F32" i="6"/>
  <c r="B32" i="6"/>
  <c r="C32" i="6"/>
  <c r="E32" i="6"/>
  <c r="B107" i="6"/>
  <c r="F107" i="6"/>
  <c r="C107" i="6"/>
  <c r="D107" i="6"/>
  <c r="A107" i="6"/>
  <c r="E107" i="6"/>
  <c r="B91" i="6"/>
  <c r="F91" i="6"/>
  <c r="C91" i="6"/>
  <c r="D91" i="6"/>
  <c r="A91" i="6"/>
  <c r="E91" i="6"/>
  <c r="B75" i="6"/>
  <c r="F75" i="6"/>
  <c r="A75" i="6"/>
  <c r="C75" i="6"/>
  <c r="D75" i="6"/>
  <c r="E75" i="6"/>
  <c r="B59" i="6"/>
  <c r="F59" i="6"/>
  <c r="E59" i="6"/>
  <c r="A59" i="6"/>
  <c r="C59" i="6"/>
  <c r="D59" i="6"/>
  <c r="A43" i="6"/>
  <c r="E43" i="6"/>
  <c r="B43" i="6"/>
  <c r="C43" i="6"/>
  <c r="D43" i="6"/>
  <c r="F43" i="6"/>
  <c r="D27" i="6"/>
  <c r="A27" i="6"/>
  <c r="E27" i="6"/>
  <c r="F27" i="6"/>
  <c r="B27" i="6"/>
  <c r="C27" i="6"/>
  <c r="A96" i="6"/>
  <c r="E96" i="6"/>
  <c r="B96" i="6"/>
  <c r="F96" i="6"/>
  <c r="C96" i="6"/>
  <c r="D96" i="6"/>
  <c r="D48" i="6"/>
  <c r="A48" i="6"/>
  <c r="E48" i="6"/>
  <c r="B48" i="6"/>
  <c r="C48" i="6"/>
  <c r="F48" i="6"/>
  <c r="C110" i="6"/>
  <c r="D110" i="6"/>
  <c r="A110" i="6"/>
  <c r="E110" i="6"/>
  <c r="B110" i="6"/>
  <c r="F110" i="6"/>
  <c r="C94" i="6"/>
  <c r="D94" i="6"/>
  <c r="A94" i="6"/>
  <c r="E94" i="6"/>
  <c r="B94" i="6"/>
  <c r="F94" i="6"/>
  <c r="C78" i="6"/>
  <c r="E78" i="6"/>
  <c r="A78" i="6"/>
  <c r="F78" i="6"/>
  <c r="B78" i="6"/>
  <c r="D78" i="6"/>
  <c r="C62" i="6"/>
  <c r="D62" i="6"/>
  <c r="E62" i="6"/>
  <c r="F62" i="6"/>
  <c r="A62" i="6"/>
  <c r="B62" i="6"/>
  <c r="B46" i="6"/>
  <c r="F46" i="6"/>
  <c r="C46" i="6"/>
  <c r="D46" i="6"/>
  <c r="E46" i="6"/>
  <c r="A46" i="6"/>
  <c r="A30" i="6"/>
  <c r="B30" i="6"/>
  <c r="F30" i="6"/>
  <c r="E30" i="6"/>
  <c r="C30" i="6"/>
  <c r="D30" i="6"/>
  <c r="C17" i="6"/>
  <c r="D17" i="6"/>
  <c r="E17" i="6"/>
  <c r="F17" i="6"/>
  <c r="A17" i="6"/>
  <c r="A76" i="6"/>
  <c r="E76" i="6"/>
  <c r="D76" i="6"/>
  <c r="F76" i="6"/>
  <c r="B76" i="6"/>
  <c r="C76" i="6"/>
  <c r="B117" i="6"/>
  <c r="F117" i="6"/>
  <c r="C117" i="6"/>
  <c r="E117" i="6"/>
  <c r="A117" i="6"/>
  <c r="D117" i="6"/>
  <c r="D101" i="6"/>
  <c r="A101" i="6"/>
  <c r="E101" i="6"/>
  <c r="B101" i="6"/>
  <c r="F101" i="6"/>
  <c r="C101" i="6"/>
  <c r="C85" i="6"/>
  <c r="D85" i="6"/>
  <c r="A85" i="6"/>
  <c r="E85" i="6"/>
  <c r="B85" i="6"/>
  <c r="F85" i="6"/>
  <c r="D69" i="6"/>
  <c r="C69" i="6"/>
  <c r="E69" i="6"/>
  <c r="A69" i="6"/>
  <c r="B69" i="6"/>
  <c r="F69" i="6"/>
  <c r="D53" i="6"/>
  <c r="C53" i="6"/>
  <c r="E53" i="6"/>
  <c r="F53" i="6"/>
  <c r="A53" i="6"/>
  <c r="B53" i="6"/>
  <c r="C37" i="6"/>
  <c r="E37" i="6"/>
  <c r="A37" i="6"/>
  <c r="F37" i="6"/>
  <c r="B37" i="6"/>
  <c r="D37" i="6"/>
  <c r="B21" i="6"/>
  <c r="F21" i="6"/>
  <c r="C21" i="6"/>
  <c r="D21" i="6"/>
  <c r="E21" i="6"/>
  <c r="A21" i="6"/>
  <c r="X72" i="1"/>
  <c r="Z72" i="1" s="1"/>
  <c r="X76" i="1"/>
  <c r="Z76" i="1" s="1"/>
  <c r="X86" i="1"/>
  <c r="Z86" i="1" s="1"/>
  <c r="X70" i="1"/>
  <c r="Z70" i="1" s="1"/>
  <c r="X80" i="1"/>
  <c r="Z80" i="1" s="1"/>
  <c r="X74" i="1"/>
  <c r="Z74" i="1" s="1"/>
  <c r="X83" i="1"/>
  <c r="Z83" i="1" s="1"/>
  <c r="X71" i="1"/>
  <c r="Z71" i="1" s="1"/>
  <c r="X79" i="1"/>
  <c r="Z79" i="1" s="1"/>
  <c r="X75" i="1"/>
  <c r="Z75" i="1" s="1"/>
  <c r="X82" i="1"/>
  <c r="Z82" i="1" s="1"/>
  <c r="X85" i="1"/>
  <c r="Z85" i="1" s="1"/>
  <c r="X84" i="1"/>
  <c r="Z84" i="1" s="1"/>
  <c r="X81" i="1"/>
  <c r="Z81" i="1" s="1"/>
  <c r="X78" i="1"/>
  <c r="Z78" i="1" s="1"/>
  <c r="X22" i="1"/>
  <c r="Z22" i="1" s="1"/>
  <c r="X58" i="1"/>
  <c r="Z58" i="1" s="1"/>
  <c r="X45" i="1"/>
  <c r="Z45" i="1" s="1"/>
  <c r="X13" i="1"/>
  <c r="Z13" i="1" s="1"/>
  <c r="X10" i="1"/>
  <c r="Z10" i="1" s="1"/>
  <c r="X24" i="1"/>
  <c r="Z24" i="1" s="1"/>
  <c r="X63" i="1"/>
  <c r="Z63" i="1" s="1"/>
  <c r="X31" i="1"/>
  <c r="Z31" i="1" s="1"/>
  <c r="X54" i="1"/>
  <c r="Z54" i="1" s="1"/>
  <c r="X14" i="1"/>
  <c r="Z14" i="1" s="1"/>
  <c r="X57" i="1"/>
  <c r="Z57" i="1" s="1"/>
  <c r="X41" i="1"/>
  <c r="Z41" i="1" s="1"/>
  <c r="X25" i="1"/>
  <c r="Z25" i="1" s="1"/>
  <c r="X9" i="1"/>
  <c r="Z9" i="1" s="1"/>
  <c r="X59" i="1"/>
  <c r="Z59" i="1" s="1"/>
  <c r="X43" i="1"/>
  <c r="Z43" i="1" s="1"/>
  <c r="X27" i="1"/>
  <c r="Z27" i="1" s="1"/>
  <c r="X11" i="1"/>
  <c r="Z11" i="1" s="1"/>
  <c r="X40" i="1"/>
  <c r="Z40" i="1" s="1"/>
  <c r="X8" i="1"/>
  <c r="Z8" i="1" s="1"/>
  <c r="X47" i="1"/>
  <c r="Z47" i="1" s="1"/>
  <c r="X15" i="1"/>
  <c r="Z15" i="1" s="1"/>
  <c r="X42" i="1"/>
  <c r="Z42" i="1" s="1"/>
  <c r="X69" i="1"/>
  <c r="Z69" i="1" s="1"/>
  <c r="X53" i="1"/>
  <c r="Z53" i="1" s="1"/>
  <c r="X37" i="1"/>
  <c r="Z37" i="1" s="1"/>
  <c r="X5" i="1"/>
  <c r="Z5" i="1" s="1"/>
  <c r="X64" i="1"/>
  <c r="Z64" i="1" s="1"/>
  <c r="X48" i="1"/>
  <c r="Z48" i="1" s="1"/>
  <c r="X32" i="1"/>
  <c r="Z32" i="1" s="1"/>
  <c r="X16" i="1"/>
  <c r="Z16" i="1" s="1"/>
  <c r="X62" i="1"/>
  <c r="Z62" i="1" s="1"/>
  <c r="X55" i="1"/>
  <c r="Z55" i="1" s="1"/>
  <c r="X39" i="1"/>
  <c r="Z39" i="1" s="1"/>
  <c r="X23" i="1"/>
  <c r="Z23" i="1" s="1"/>
  <c r="X7" i="1"/>
  <c r="Z7" i="1" s="1"/>
  <c r="X66" i="1"/>
  <c r="Z66" i="1" s="1"/>
  <c r="X61" i="1"/>
  <c r="Z61" i="1" s="1"/>
  <c r="X29" i="1"/>
  <c r="Z29" i="1" s="1"/>
  <c r="X56" i="1"/>
  <c r="Z56" i="1" s="1"/>
  <c r="X38" i="1"/>
  <c r="Z38" i="1" s="1"/>
  <c r="X30" i="1"/>
  <c r="Z30" i="1" s="1"/>
  <c r="X65" i="1"/>
  <c r="Z65" i="1" s="1"/>
  <c r="X17" i="1"/>
  <c r="Z17" i="1" s="1"/>
  <c r="X2" i="1"/>
  <c r="Z2" i="1" s="1"/>
  <c r="X26" i="1"/>
  <c r="Z26" i="1" s="1"/>
  <c r="X60" i="1"/>
  <c r="Z60" i="1" s="1"/>
  <c r="X44" i="1"/>
  <c r="Z44" i="1" s="1"/>
  <c r="X28" i="1"/>
  <c r="Z28" i="1" s="1"/>
  <c r="X12" i="1"/>
  <c r="Z12" i="1" s="1"/>
  <c r="X67" i="1"/>
  <c r="Z67" i="1" s="1"/>
  <c r="X51" i="1"/>
  <c r="Z51" i="1" s="1"/>
  <c r="X35" i="1"/>
  <c r="Z35" i="1" s="1"/>
  <c r="X19" i="1"/>
  <c r="Z19" i="1" s="1"/>
  <c r="X3" i="1"/>
  <c r="Z3" i="1" s="1"/>
  <c r="X18" i="1"/>
  <c r="Z18" i="1" s="1"/>
  <c r="X50" i="1"/>
  <c r="Z50" i="1" s="1"/>
  <c r="X46" i="1"/>
  <c r="Z46" i="1" s="1"/>
  <c r="X68" i="1"/>
  <c r="Z68" i="1" s="1"/>
  <c r="X52" i="1"/>
  <c r="Z52" i="1" s="1"/>
  <c r="X36" i="1"/>
  <c r="Z36" i="1" s="1"/>
  <c r="X20" i="1"/>
  <c r="Z20" i="1" s="1"/>
  <c r="X4" i="1"/>
  <c r="Z4" i="1" s="1"/>
  <c r="X21" i="1"/>
  <c r="Z21" i="1" s="1"/>
  <c r="X34" i="1"/>
  <c r="Z34" i="1" s="1"/>
  <c r="X6" i="1"/>
  <c r="Z6" i="1" s="1"/>
  <c r="X49" i="1"/>
  <c r="Z49" i="1" s="1"/>
  <c r="X33" i="1"/>
  <c r="Z33" i="1" s="1"/>
  <c r="AA4" i="1" l="1"/>
  <c r="AA8" i="1"/>
  <c r="F23" i="3" s="1"/>
  <c r="AA12" i="1"/>
  <c r="AA16" i="1"/>
  <c r="AA20" i="1"/>
  <c r="B35" i="3" s="1"/>
  <c r="AA24" i="1"/>
  <c r="B39" i="3" s="1"/>
  <c r="AA28" i="1"/>
  <c r="AA32" i="1"/>
  <c r="AA36" i="1"/>
  <c r="M51" i="3" s="1"/>
  <c r="AA40" i="1"/>
  <c r="M55" i="3" s="1"/>
  <c r="AA44" i="1"/>
  <c r="AA48" i="1"/>
  <c r="AA52" i="1"/>
  <c r="E67" i="3" s="1"/>
  <c r="AA56" i="1"/>
  <c r="I71" i="3" s="1"/>
  <c r="AA60" i="1"/>
  <c r="E75" i="3" s="1"/>
  <c r="AA64" i="1"/>
  <c r="AA68" i="1"/>
  <c r="I83" i="3" s="1"/>
  <c r="AA72" i="1"/>
  <c r="AA76" i="1"/>
  <c r="AA80" i="1"/>
  <c r="AA84" i="1"/>
  <c r="AA2" i="1"/>
  <c r="D17" i="3" s="1"/>
  <c r="AA11" i="1"/>
  <c r="AA5" i="1"/>
  <c r="AA9" i="1"/>
  <c r="C24" i="3" s="1"/>
  <c r="AA13" i="1"/>
  <c r="AA17" i="1"/>
  <c r="AA21" i="1"/>
  <c r="AA25" i="1"/>
  <c r="AA29" i="1"/>
  <c r="G44" i="3" s="1"/>
  <c r="AA33" i="1"/>
  <c r="AA37" i="1"/>
  <c r="AA41" i="1"/>
  <c r="C56" i="3" s="1"/>
  <c r="AA45" i="1"/>
  <c r="F60" i="3" s="1"/>
  <c r="AA49" i="1"/>
  <c r="AA53" i="1"/>
  <c r="AA57" i="1"/>
  <c r="O72" i="3" s="1"/>
  <c r="AA61" i="1"/>
  <c r="AA65" i="1"/>
  <c r="AA69" i="1"/>
  <c r="AA73" i="1"/>
  <c r="AA77" i="1"/>
  <c r="AA81" i="1"/>
  <c r="AA85" i="1"/>
  <c r="AA6" i="1"/>
  <c r="H21" i="3" s="1"/>
  <c r="AA10" i="1"/>
  <c r="H25" i="3" s="1"/>
  <c r="AA14" i="1"/>
  <c r="AA18" i="1"/>
  <c r="AA22" i="1"/>
  <c r="AA26" i="1"/>
  <c r="P41" i="3" s="1"/>
  <c r="AA30" i="1"/>
  <c r="AA34" i="1"/>
  <c r="AA38" i="1"/>
  <c r="G53" i="3" s="1"/>
  <c r="AA42" i="1"/>
  <c r="AA46" i="1"/>
  <c r="AA50" i="1"/>
  <c r="AA54" i="1"/>
  <c r="C69" i="3" s="1"/>
  <c r="AA58" i="1"/>
  <c r="C73" i="3" s="1"/>
  <c r="AA62" i="1"/>
  <c r="AA66" i="1"/>
  <c r="AA70" i="1"/>
  <c r="AA74" i="1"/>
  <c r="AA78" i="1"/>
  <c r="AA82" i="1"/>
  <c r="AA86" i="1"/>
  <c r="AA7" i="1"/>
  <c r="Q22" i="3" s="1"/>
  <c r="AA15" i="1"/>
  <c r="AA19" i="1"/>
  <c r="AA23" i="1"/>
  <c r="E38" i="3" s="1"/>
  <c r="AA27" i="1"/>
  <c r="E42" i="3" s="1"/>
  <c r="AA31" i="1"/>
  <c r="AA35" i="1"/>
  <c r="AA39" i="1"/>
  <c r="D54" i="3" s="1"/>
  <c r="AA43" i="1"/>
  <c r="AA47" i="1"/>
  <c r="AA51" i="1"/>
  <c r="AA55" i="1"/>
  <c r="P70" i="3" s="1"/>
  <c r="AA59" i="1"/>
  <c r="AA63" i="1"/>
  <c r="AA67" i="1"/>
  <c r="AA71" i="1"/>
  <c r="AA75" i="1"/>
  <c r="AA79" i="1"/>
  <c r="AA83" i="1"/>
  <c r="AA3" i="1"/>
  <c r="A18" i="3" s="1"/>
  <c r="B71" i="3"/>
  <c r="M39" i="3"/>
  <c r="E55" i="3" l="1"/>
  <c r="I17" i="3"/>
  <c r="A17" i="3"/>
  <c r="A23" i="3"/>
  <c r="N23" i="3"/>
  <c r="G39" i="3"/>
  <c r="P55" i="3"/>
  <c r="A55" i="3"/>
  <c r="H17" i="3"/>
  <c r="I23" i="3"/>
  <c r="I39" i="3"/>
  <c r="C39" i="3"/>
  <c r="R55" i="3"/>
  <c r="R71" i="3"/>
  <c r="F17" i="3"/>
  <c r="D23" i="3"/>
  <c r="P39" i="3"/>
  <c r="B55" i="3"/>
  <c r="F71" i="3"/>
  <c r="R53" i="3"/>
  <c r="P53" i="3"/>
  <c r="H56" i="3"/>
  <c r="F72" i="3"/>
  <c r="C53" i="3"/>
  <c r="O44" i="3"/>
  <c r="O17" i="3"/>
  <c r="B17" i="3"/>
  <c r="D39" i="3"/>
  <c r="D55" i="3"/>
  <c r="N55" i="3"/>
  <c r="C71" i="3"/>
  <c r="R72" i="3"/>
  <c r="F41" i="3"/>
  <c r="M57" i="3"/>
  <c r="P60" i="3"/>
  <c r="R25" i="3"/>
  <c r="H22" i="3"/>
  <c r="G70" i="3"/>
  <c r="M73" i="3"/>
  <c r="D60" i="3"/>
  <c r="E44" i="3"/>
  <c r="I70" i="3"/>
  <c r="Q28" i="3"/>
  <c r="N73" i="3"/>
  <c r="E41" i="3"/>
  <c r="N53" i="3"/>
  <c r="S53" i="3"/>
  <c r="P71" i="3"/>
  <c r="Q71" i="3"/>
  <c r="A71" i="3"/>
  <c r="I25" i="3"/>
  <c r="I73" i="3"/>
  <c r="C41" i="3"/>
  <c r="H41" i="3"/>
  <c r="H60" i="3"/>
  <c r="P44" i="3"/>
  <c r="N38" i="3"/>
  <c r="Q24" i="3"/>
  <c r="C21" i="3"/>
  <c r="S17" i="3"/>
  <c r="R17" i="3"/>
  <c r="E17" i="3"/>
  <c r="F53" i="3"/>
  <c r="O53" i="3"/>
  <c r="H23" i="3"/>
  <c r="G23" i="3"/>
  <c r="H39" i="3"/>
  <c r="S39" i="3"/>
  <c r="F39" i="3"/>
  <c r="H55" i="3"/>
  <c r="Q55" i="3"/>
  <c r="D71" i="3"/>
  <c r="M71" i="3"/>
  <c r="C25" i="3"/>
  <c r="P25" i="3"/>
  <c r="A73" i="3"/>
  <c r="O41" i="3"/>
  <c r="F57" i="3"/>
  <c r="S57" i="3"/>
  <c r="N60" i="3"/>
  <c r="N44" i="3"/>
  <c r="B37" i="3"/>
  <c r="R54" i="3"/>
  <c r="R40" i="3"/>
  <c r="Q21" i="3"/>
  <c r="G25" i="3"/>
  <c r="G73" i="3"/>
  <c r="P57" i="3"/>
  <c r="B22" i="3"/>
  <c r="M25" i="3"/>
  <c r="R73" i="3"/>
  <c r="H73" i="3"/>
  <c r="A41" i="3"/>
  <c r="B57" i="3"/>
  <c r="B44" i="3"/>
  <c r="C22" i="3"/>
  <c r="A38" i="3"/>
  <c r="F56" i="3"/>
  <c r="A21" i="3"/>
  <c r="E37" i="3"/>
  <c r="H38" i="3"/>
  <c r="P54" i="3"/>
  <c r="B69" i="3"/>
  <c r="D38" i="3"/>
  <c r="F54" i="3"/>
  <c r="S70" i="3"/>
  <c r="F69" i="3"/>
  <c r="C57" i="3"/>
  <c r="M18" i="3"/>
  <c r="N37" i="3"/>
  <c r="H37" i="3"/>
  <c r="E22" i="3"/>
  <c r="Q38" i="3"/>
  <c r="M54" i="3"/>
  <c r="O21" i="3"/>
  <c r="D21" i="3"/>
  <c r="O69" i="3"/>
  <c r="M53" i="3"/>
  <c r="G18" i="3"/>
  <c r="G37" i="3"/>
  <c r="A37" i="3"/>
  <c r="G22" i="3"/>
  <c r="S38" i="3"/>
  <c r="M38" i="3"/>
  <c r="S54" i="3"/>
  <c r="I54" i="3"/>
  <c r="E70" i="3"/>
  <c r="M56" i="3"/>
  <c r="E72" i="3"/>
  <c r="B72" i="3"/>
  <c r="N21" i="3"/>
  <c r="R21" i="3"/>
  <c r="M21" i="3"/>
  <c r="Q69" i="3"/>
  <c r="A69" i="3"/>
  <c r="M69" i="3"/>
  <c r="H69" i="3"/>
  <c r="B53" i="3"/>
  <c r="Q53" i="3"/>
  <c r="H53" i="3"/>
  <c r="C37" i="3"/>
  <c r="Q37" i="3"/>
  <c r="D37" i="3"/>
  <c r="A22" i="3"/>
  <c r="O38" i="3"/>
  <c r="O54" i="3"/>
  <c r="O70" i="3"/>
  <c r="B70" i="3"/>
  <c r="H70" i="3"/>
  <c r="I40" i="3"/>
  <c r="P21" i="3"/>
  <c r="A53" i="3"/>
  <c r="I53" i="3"/>
  <c r="E53" i="3"/>
  <c r="D53" i="3"/>
  <c r="N25" i="3"/>
  <c r="F73" i="3"/>
  <c r="D73" i="3"/>
  <c r="R41" i="3"/>
  <c r="Q41" i="3"/>
  <c r="D41" i="3"/>
  <c r="Q57" i="3"/>
  <c r="O57" i="3"/>
  <c r="Q60" i="3"/>
  <c r="G60" i="3"/>
  <c r="F44" i="3"/>
  <c r="F37" i="3"/>
  <c r="R37" i="3"/>
  <c r="M37" i="3"/>
  <c r="P37" i="3"/>
  <c r="D22" i="3"/>
  <c r="F22" i="3"/>
  <c r="C38" i="3"/>
  <c r="G38" i="3"/>
  <c r="F38" i="3"/>
  <c r="I38" i="3"/>
  <c r="N54" i="3"/>
  <c r="B54" i="3"/>
  <c r="E54" i="3"/>
  <c r="H54" i="3"/>
  <c r="N70" i="3"/>
  <c r="C70" i="3"/>
  <c r="Q70" i="3"/>
  <c r="A70" i="3"/>
  <c r="D70" i="3"/>
  <c r="O24" i="3"/>
  <c r="H40" i="3"/>
  <c r="S56" i="3"/>
  <c r="H72" i="3"/>
  <c r="G21" i="3"/>
  <c r="S21" i="3"/>
  <c r="I21" i="3"/>
  <c r="I69" i="3"/>
  <c r="E69" i="3"/>
  <c r="D69" i="3"/>
  <c r="G69" i="3"/>
  <c r="O40" i="3"/>
  <c r="O37" i="3"/>
  <c r="S37" i="3"/>
  <c r="I37" i="3"/>
  <c r="P38" i="3"/>
  <c r="R38" i="3"/>
  <c r="B38" i="3"/>
  <c r="G54" i="3"/>
  <c r="C54" i="3"/>
  <c r="Q54" i="3"/>
  <c r="A54" i="3"/>
  <c r="F70" i="3"/>
  <c r="R70" i="3"/>
  <c r="M70" i="3"/>
  <c r="E24" i="3"/>
  <c r="F40" i="3"/>
  <c r="F21" i="3"/>
  <c r="B21" i="3"/>
  <c r="E21" i="3"/>
  <c r="R69" i="3"/>
  <c r="N69" i="3"/>
  <c r="P69" i="3"/>
  <c r="S69" i="3"/>
  <c r="K17" i="3"/>
  <c r="N17" i="3"/>
  <c r="Q17" i="3"/>
  <c r="G17" i="3"/>
  <c r="C17" i="3"/>
  <c r="P17" i="3"/>
  <c r="M17" i="3"/>
  <c r="P23" i="3"/>
  <c r="E23" i="3"/>
  <c r="O23" i="3"/>
  <c r="R23" i="3"/>
  <c r="B23" i="3"/>
  <c r="A39" i="3"/>
  <c r="N39" i="3"/>
  <c r="C55" i="3"/>
  <c r="G55" i="3"/>
  <c r="F55" i="3"/>
  <c r="I55" i="3"/>
  <c r="O71" i="3"/>
  <c r="H71" i="3"/>
  <c r="E71" i="3"/>
  <c r="S25" i="3"/>
  <c r="O25" i="3"/>
  <c r="Q25" i="3"/>
  <c r="A25" i="3"/>
  <c r="D25" i="3"/>
  <c r="B73" i="3"/>
  <c r="Q73" i="3"/>
  <c r="O73" i="3"/>
  <c r="S41" i="3"/>
  <c r="B41" i="3"/>
  <c r="N41" i="3"/>
  <c r="I41" i="3"/>
  <c r="N57" i="3"/>
  <c r="A57" i="3"/>
  <c r="D57" i="3"/>
  <c r="G57" i="3"/>
  <c r="M60" i="3"/>
  <c r="A60" i="3"/>
  <c r="O60" i="3"/>
  <c r="R60" i="3"/>
  <c r="B60" i="3"/>
  <c r="Q44" i="3"/>
  <c r="S44" i="3"/>
  <c r="M44" i="3"/>
  <c r="D44" i="3"/>
  <c r="C44" i="3"/>
  <c r="S22" i="3"/>
  <c r="P22" i="3"/>
  <c r="N22" i="3"/>
  <c r="I22" i="3"/>
  <c r="Q23" i="3"/>
  <c r="M23" i="3"/>
  <c r="S23" i="3"/>
  <c r="C23" i="3"/>
  <c r="Q39" i="3"/>
  <c r="E39" i="3"/>
  <c r="O39" i="3"/>
  <c r="R39" i="3"/>
  <c r="S55" i="3"/>
  <c r="O55" i="3"/>
  <c r="S71" i="3"/>
  <c r="N71" i="3"/>
  <c r="G71" i="3"/>
  <c r="B25" i="3"/>
  <c r="F25" i="3"/>
  <c r="E25" i="3"/>
  <c r="E73" i="3"/>
  <c r="P73" i="3"/>
  <c r="S73" i="3"/>
  <c r="G41" i="3"/>
  <c r="M41" i="3"/>
  <c r="E57" i="3"/>
  <c r="R57" i="3"/>
  <c r="I57" i="3"/>
  <c r="H57" i="3"/>
  <c r="E60" i="3"/>
  <c r="I60" i="3"/>
  <c r="S60" i="3"/>
  <c r="C60" i="3"/>
  <c r="I44" i="3"/>
  <c r="A44" i="3"/>
  <c r="R44" i="3"/>
  <c r="H44" i="3"/>
  <c r="R22" i="3"/>
  <c r="D82" i="3"/>
  <c r="G65" i="3"/>
  <c r="B68" i="3"/>
  <c r="I63" i="3"/>
  <c r="D78" i="3"/>
  <c r="M62" i="3"/>
  <c r="H46" i="3"/>
  <c r="I30" i="3"/>
  <c r="C77" i="3"/>
  <c r="C61" i="3"/>
  <c r="C45" i="3"/>
  <c r="H29" i="3"/>
  <c r="N80" i="3"/>
  <c r="B64" i="3"/>
  <c r="F48" i="3"/>
  <c r="A26" i="3"/>
  <c r="M75" i="3"/>
  <c r="A59" i="3"/>
  <c r="F43" i="3"/>
  <c r="H66" i="3"/>
  <c r="M34" i="3"/>
  <c r="O81" i="3"/>
  <c r="D33" i="3"/>
  <c r="N84" i="3"/>
  <c r="F52" i="3"/>
  <c r="O20" i="3"/>
  <c r="I79" i="3"/>
  <c r="E31" i="3"/>
  <c r="H74" i="3"/>
  <c r="P58" i="3"/>
  <c r="M22" i="3"/>
  <c r="N76" i="3"/>
  <c r="C28" i="3"/>
  <c r="O22" i="3"/>
  <c r="R28" i="3"/>
  <c r="S27" i="3"/>
  <c r="A30" i="3"/>
  <c r="O27" i="3"/>
  <c r="M28" i="3"/>
  <c r="E30" i="3"/>
  <c r="R78" i="3"/>
  <c r="G59" i="3"/>
  <c r="I75" i="3"/>
  <c r="A46" i="3"/>
  <c r="A43" i="3"/>
  <c r="P75" i="3"/>
  <c r="H61" i="3"/>
  <c r="H45" i="3"/>
  <c r="D30" i="3"/>
  <c r="P46" i="3"/>
  <c r="P43" i="3"/>
  <c r="O75" i="3"/>
  <c r="O61" i="3"/>
  <c r="D29" i="3"/>
  <c r="N77" i="3"/>
  <c r="G29" i="3"/>
  <c r="O77" i="3"/>
  <c r="R29" i="3"/>
  <c r="B45" i="3"/>
  <c r="R30" i="3"/>
  <c r="C46" i="3"/>
  <c r="P62" i="3"/>
  <c r="P78" i="3"/>
  <c r="D27" i="3"/>
  <c r="F27" i="3"/>
  <c r="R43" i="3"/>
  <c r="C75" i="3"/>
  <c r="Q61" i="3"/>
  <c r="Q29" i="3"/>
  <c r="I77" i="3"/>
  <c r="Q45" i="3"/>
  <c r="N30" i="3"/>
  <c r="R46" i="3"/>
  <c r="O78" i="3"/>
  <c r="M27" i="3"/>
  <c r="B27" i="3"/>
  <c r="N43" i="3"/>
  <c r="F59" i="3"/>
  <c r="R75" i="3"/>
  <c r="F61" i="3"/>
  <c r="P29" i="3"/>
  <c r="H77" i="3"/>
  <c r="P30" i="3"/>
  <c r="B30" i="3"/>
  <c r="G46" i="3"/>
  <c r="Q46" i="3"/>
  <c r="D46" i="3"/>
  <c r="M78" i="3"/>
  <c r="I27" i="3"/>
  <c r="C27" i="3"/>
  <c r="E43" i="3"/>
  <c r="O43" i="3"/>
  <c r="B43" i="3"/>
  <c r="M59" i="3"/>
  <c r="D75" i="3"/>
  <c r="F75" i="3"/>
  <c r="I61" i="3"/>
  <c r="M61" i="3"/>
  <c r="F29" i="3"/>
  <c r="M29" i="3"/>
  <c r="R77" i="3"/>
  <c r="M77" i="3"/>
  <c r="F45" i="3"/>
  <c r="O45" i="3"/>
  <c r="H30" i="3"/>
  <c r="Q30" i="3"/>
  <c r="N46" i="3"/>
  <c r="M46" i="3"/>
  <c r="N62" i="3"/>
  <c r="C78" i="3"/>
  <c r="I78" i="3"/>
  <c r="A27" i="3"/>
  <c r="R27" i="3"/>
  <c r="D43" i="3"/>
  <c r="O59" i="3"/>
  <c r="C59" i="3"/>
  <c r="I59" i="3"/>
  <c r="H75" i="3"/>
  <c r="B75" i="3"/>
  <c r="C29" i="3"/>
  <c r="A29" i="3"/>
  <c r="A77" i="3"/>
  <c r="M45" i="3"/>
  <c r="B36" i="3"/>
  <c r="D62" i="3"/>
  <c r="E50" i="3"/>
  <c r="H84" i="3"/>
  <c r="Q66" i="3"/>
  <c r="G36" i="3"/>
  <c r="S30" i="3"/>
  <c r="O30" i="3"/>
  <c r="M30" i="3"/>
  <c r="F46" i="3"/>
  <c r="S46" i="3"/>
  <c r="I46" i="3"/>
  <c r="R62" i="3"/>
  <c r="F78" i="3"/>
  <c r="G78" i="3"/>
  <c r="B78" i="3"/>
  <c r="E78" i="3"/>
  <c r="H78" i="3"/>
  <c r="P34" i="3"/>
  <c r="B82" i="3"/>
  <c r="P27" i="3"/>
  <c r="N27" i="3"/>
  <c r="M43" i="3"/>
  <c r="Q43" i="3"/>
  <c r="H43" i="3"/>
  <c r="G43" i="3"/>
  <c r="H59" i="3"/>
  <c r="D59" i="3"/>
  <c r="R59" i="3"/>
  <c r="B59" i="3"/>
  <c r="E59" i="3"/>
  <c r="G75" i="3"/>
  <c r="S75" i="3"/>
  <c r="N75" i="3"/>
  <c r="Q75" i="3"/>
  <c r="A75" i="3"/>
  <c r="R52" i="3"/>
  <c r="R61" i="3"/>
  <c r="A61" i="3"/>
  <c r="E61" i="3"/>
  <c r="D61" i="3"/>
  <c r="G61" i="3"/>
  <c r="O29" i="3"/>
  <c r="S29" i="3"/>
  <c r="I29" i="3"/>
  <c r="B77" i="3"/>
  <c r="F77" i="3"/>
  <c r="E77" i="3"/>
  <c r="D77" i="3"/>
  <c r="G77" i="3"/>
  <c r="I45" i="3"/>
  <c r="A45" i="3"/>
  <c r="E45" i="3"/>
  <c r="D45" i="3"/>
  <c r="G45" i="3"/>
  <c r="C30" i="3"/>
  <c r="G30" i="3"/>
  <c r="F30" i="3"/>
  <c r="O46" i="3"/>
  <c r="B46" i="3"/>
  <c r="E46" i="3"/>
  <c r="S78" i="3"/>
  <c r="N78" i="3"/>
  <c r="Q78" i="3"/>
  <c r="A78" i="3"/>
  <c r="I34" i="3"/>
  <c r="E27" i="3"/>
  <c r="Q27" i="3"/>
  <c r="H27" i="3"/>
  <c r="G27" i="3"/>
  <c r="I43" i="3"/>
  <c r="S43" i="3"/>
  <c r="C43" i="3"/>
  <c r="P59" i="3"/>
  <c r="S59" i="3"/>
  <c r="N59" i="3"/>
  <c r="Q59" i="3"/>
  <c r="Q20" i="3"/>
  <c r="B61" i="3"/>
  <c r="N61" i="3"/>
  <c r="P61" i="3"/>
  <c r="S61" i="3"/>
  <c r="N29" i="3"/>
  <c r="B29" i="3"/>
  <c r="E29" i="3"/>
  <c r="Q77" i="3"/>
  <c r="P77" i="3"/>
  <c r="S77" i="3"/>
  <c r="R45" i="3"/>
  <c r="N45" i="3"/>
  <c r="P45" i="3"/>
  <c r="S45" i="3"/>
  <c r="H50" i="3"/>
  <c r="A66" i="3"/>
  <c r="M82" i="3"/>
  <c r="M20" i="3"/>
  <c r="I36" i="3"/>
  <c r="M52" i="3"/>
  <c r="B52" i="3"/>
  <c r="N68" i="3"/>
  <c r="G84" i="3"/>
  <c r="S79" i="3"/>
  <c r="C34" i="3"/>
  <c r="B50" i="3"/>
  <c r="D66" i="3"/>
  <c r="P82" i="3"/>
  <c r="H20" i="3"/>
  <c r="E36" i="3"/>
  <c r="A52" i="3"/>
  <c r="E84" i="3"/>
  <c r="O31" i="3"/>
  <c r="E79" i="3"/>
  <c r="M63" i="3"/>
  <c r="F34" i="3"/>
  <c r="F50" i="3"/>
  <c r="O66" i="3"/>
  <c r="O82" i="3"/>
  <c r="D36" i="3"/>
  <c r="O52" i="3"/>
  <c r="P68" i="3"/>
  <c r="I84" i="3"/>
  <c r="O47" i="3"/>
  <c r="O34" i="3"/>
  <c r="D34" i="3"/>
  <c r="R34" i="3"/>
  <c r="B34" i="3"/>
  <c r="E34" i="3"/>
  <c r="S50" i="3"/>
  <c r="O50" i="3"/>
  <c r="Q50" i="3"/>
  <c r="A50" i="3"/>
  <c r="D50" i="3"/>
  <c r="G66" i="3"/>
  <c r="M66" i="3"/>
  <c r="P66" i="3"/>
  <c r="S82" i="3"/>
  <c r="G82" i="3"/>
  <c r="N82" i="3"/>
  <c r="I82" i="3"/>
  <c r="I20" i="3"/>
  <c r="A20" i="3"/>
  <c r="E20" i="3"/>
  <c r="D20" i="3"/>
  <c r="G20" i="3"/>
  <c r="Q36" i="3"/>
  <c r="N36" i="3"/>
  <c r="P36" i="3"/>
  <c r="S36" i="3"/>
  <c r="C36" i="3"/>
  <c r="P52" i="3"/>
  <c r="N52" i="3"/>
  <c r="D68" i="3"/>
  <c r="Q68" i="3"/>
  <c r="H68" i="3"/>
  <c r="G68" i="3"/>
  <c r="A84" i="3"/>
  <c r="S84" i="3"/>
  <c r="C84" i="3"/>
  <c r="F84" i="3"/>
  <c r="R31" i="3"/>
  <c r="G63" i="3"/>
  <c r="A47" i="3"/>
  <c r="H34" i="3"/>
  <c r="S34" i="3"/>
  <c r="N34" i="3"/>
  <c r="Q34" i="3"/>
  <c r="A34" i="3"/>
  <c r="C50" i="3"/>
  <c r="G50" i="3"/>
  <c r="M50" i="3"/>
  <c r="P50" i="3"/>
  <c r="S66" i="3"/>
  <c r="R66" i="3"/>
  <c r="N66" i="3"/>
  <c r="I66" i="3"/>
  <c r="C82" i="3"/>
  <c r="F82" i="3"/>
  <c r="E82" i="3"/>
  <c r="H82" i="3"/>
  <c r="R20" i="3"/>
  <c r="N20" i="3"/>
  <c r="P20" i="3"/>
  <c r="S20" i="3"/>
  <c r="C20" i="3"/>
  <c r="A36" i="3"/>
  <c r="F36" i="3"/>
  <c r="O36" i="3"/>
  <c r="E52" i="3"/>
  <c r="Q52" i="3"/>
  <c r="H52" i="3"/>
  <c r="G52" i="3"/>
  <c r="M68" i="3"/>
  <c r="I68" i="3"/>
  <c r="S68" i="3"/>
  <c r="C68" i="3"/>
  <c r="F68" i="3"/>
  <c r="D84" i="3"/>
  <c r="M84" i="3"/>
  <c r="O84" i="3"/>
  <c r="R84" i="3"/>
  <c r="B84" i="3"/>
  <c r="Q31" i="3"/>
  <c r="B31" i="3"/>
  <c r="M47" i="3"/>
  <c r="F63" i="3"/>
  <c r="R79" i="3"/>
  <c r="F31" i="3"/>
  <c r="G34" i="3"/>
  <c r="R50" i="3"/>
  <c r="N50" i="3"/>
  <c r="I50" i="3"/>
  <c r="C66" i="3"/>
  <c r="B66" i="3"/>
  <c r="F66" i="3"/>
  <c r="E66" i="3"/>
  <c r="R82" i="3"/>
  <c r="Q82" i="3"/>
  <c r="A82" i="3"/>
  <c r="B20" i="3"/>
  <c r="F20" i="3"/>
  <c r="R36" i="3"/>
  <c r="M36" i="3"/>
  <c r="H36" i="3"/>
  <c r="D52" i="3"/>
  <c r="I52" i="3"/>
  <c r="S52" i="3"/>
  <c r="C52" i="3"/>
  <c r="E68" i="3"/>
  <c r="A68" i="3"/>
  <c r="O68" i="3"/>
  <c r="R68" i="3"/>
  <c r="Q84" i="3"/>
  <c r="P84" i="3"/>
  <c r="C63" i="3"/>
  <c r="B79" i="3"/>
  <c r="F62" i="3"/>
  <c r="S62" i="3"/>
  <c r="I62" i="3"/>
  <c r="P18" i="3"/>
  <c r="C18" i="3"/>
  <c r="F18" i="3"/>
  <c r="I18" i="3"/>
  <c r="A31" i="3"/>
  <c r="N31" i="3"/>
  <c r="D47" i="3"/>
  <c r="G47" i="3"/>
  <c r="F47" i="3"/>
  <c r="I47" i="3"/>
  <c r="P63" i="3"/>
  <c r="R63" i="3"/>
  <c r="B63" i="3"/>
  <c r="E63" i="3"/>
  <c r="C79" i="3"/>
  <c r="N79" i="3"/>
  <c r="Q79" i="3"/>
  <c r="A79" i="3"/>
  <c r="N24" i="3"/>
  <c r="R24" i="3"/>
  <c r="I24" i="3"/>
  <c r="H24" i="3"/>
  <c r="E40" i="3"/>
  <c r="A40" i="3"/>
  <c r="D40" i="3"/>
  <c r="G40" i="3"/>
  <c r="Q56" i="3"/>
  <c r="E56" i="3"/>
  <c r="O56" i="3"/>
  <c r="R56" i="3"/>
  <c r="B56" i="3"/>
  <c r="Q72" i="3"/>
  <c r="N72" i="3"/>
  <c r="O62" i="3"/>
  <c r="B62" i="3"/>
  <c r="E62" i="3"/>
  <c r="H62" i="3"/>
  <c r="O18" i="3"/>
  <c r="D18" i="3"/>
  <c r="R18" i="3"/>
  <c r="B18" i="3"/>
  <c r="E18" i="3"/>
  <c r="I31" i="3"/>
  <c r="P31" i="3"/>
  <c r="D31" i="3"/>
  <c r="G31" i="3"/>
  <c r="S47" i="3"/>
  <c r="P47" i="3"/>
  <c r="R47" i="3"/>
  <c r="B47" i="3"/>
  <c r="E47" i="3"/>
  <c r="D63" i="3"/>
  <c r="H63" i="3"/>
  <c r="N63" i="3"/>
  <c r="Q63" i="3"/>
  <c r="A63" i="3"/>
  <c r="P79" i="3"/>
  <c r="O79" i="3"/>
  <c r="M79" i="3"/>
  <c r="M24" i="3"/>
  <c r="A24" i="3"/>
  <c r="D24" i="3"/>
  <c r="G24" i="3"/>
  <c r="N40" i="3"/>
  <c r="B40" i="3"/>
  <c r="P40" i="3"/>
  <c r="S40" i="3"/>
  <c r="C40" i="3"/>
  <c r="A56" i="3"/>
  <c r="N56" i="3"/>
  <c r="P72" i="3"/>
  <c r="I72" i="3"/>
  <c r="D72" i="3"/>
  <c r="G72" i="3"/>
  <c r="G62" i="3"/>
  <c r="C62" i="3"/>
  <c r="Q62" i="3"/>
  <c r="A62" i="3"/>
  <c r="H18" i="3"/>
  <c r="S18" i="3"/>
  <c r="N18" i="3"/>
  <c r="Q18" i="3"/>
  <c r="H31" i="3"/>
  <c r="M31" i="3"/>
  <c r="S31" i="3"/>
  <c r="C31" i="3"/>
  <c r="C47" i="3"/>
  <c r="H47" i="3"/>
  <c r="N47" i="3"/>
  <c r="Q47" i="3"/>
  <c r="S63" i="3"/>
  <c r="O63" i="3"/>
  <c r="D79" i="3"/>
  <c r="H79" i="3"/>
  <c r="G79" i="3"/>
  <c r="F79" i="3"/>
  <c r="F24" i="3"/>
  <c r="B24" i="3"/>
  <c r="P24" i="3"/>
  <c r="S24" i="3"/>
  <c r="M40" i="3"/>
  <c r="Q40" i="3"/>
  <c r="I56" i="3"/>
  <c r="P56" i="3"/>
  <c r="D56" i="3"/>
  <c r="G56" i="3"/>
  <c r="M72" i="3"/>
  <c r="A72" i="3"/>
  <c r="S72" i="3"/>
  <c r="C72" i="3"/>
  <c r="H76" i="3"/>
  <c r="C76" i="3"/>
  <c r="E76" i="3"/>
  <c r="A67" i="3"/>
  <c r="O48" i="3"/>
  <c r="B28" i="3"/>
  <c r="H28" i="3"/>
  <c r="Q76" i="3"/>
  <c r="S76" i="3"/>
  <c r="F76" i="3"/>
  <c r="A28" i="3"/>
  <c r="F28" i="3"/>
  <c r="O28" i="3"/>
  <c r="M76" i="3"/>
  <c r="G76" i="3"/>
  <c r="I28" i="3"/>
  <c r="E28" i="3"/>
  <c r="D28" i="3"/>
  <c r="G28" i="3"/>
  <c r="I76" i="3"/>
  <c r="D76" i="3"/>
  <c r="O76" i="3"/>
  <c r="R76" i="3"/>
  <c r="B76" i="3"/>
  <c r="N28" i="3"/>
  <c r="P28" i="3"/>
  <c r="S28" i="3"/>
  <c r="A76" i="3"/>
  <c r="P76" i="3"/>
  <c r="O74" i="3"/>
  <c r="G49" i="3"/>
  <c r="H81" i="3"/>
  <c r="S65" i="3"/>
  <c r="Q42" i="3"/>
  <c r="F51" i="3"/>
  <c r="E80" i="3"/>
  <c r="R83" i="3"/>
  <c r="M33" i="3"/>
  <c r="D74" i="3"/>
  <c r="N58" i="3"/>
  <c r="D32" i="3"/>
  <c r="F49" i="3"/>
  <c r="N35" i="3"/>
  <c r="I19" i="3"/>
  <c r="H67" i="3"/>
  <c r="E32" i="3"/>
  <c r="G32" i="3"/>
  <c r="R48" i="3"/>
  <c r="D80" i="3"/>
  <c r="H42" i="3"/>
  <c r="A42" i="3"/>
  <c r="G51" i="3"/>
  <c r="I51" i="3"/>
  <c r="B83" i="3"/>
  <c r="F81" i="3"/>
  <c r="N65" i="3"/>
  <c r="C65" i="3"/>
  <c r="P33" i="3"/>
  <c r="R74" i="3"/>
  <c r="E35" i="3"/>
  <c r="M26" i="3"/>
  <c r="I58" i="3"/>
  <c r="S19" i="3"/>
  <c r="S67" i="3"/>
  <c r="I48" i="3"/>
  <c r="B48" i="3"/>
  <c r="N64" i="3"/>
  <c r="G80" i="3"/>
  <c r="A49" i="3"/>
  <c r="S42" i="3"/>
  <c r="O83" i="3"/>
  <c r="E83" i="3"/>
  <c r="B81" i="3"/>
  <c r="B65" i="3"/>
  <c r="R33" i="3"/>
  <c r="Q74" i="3"/>
  <c r="O35" i="3"/>
  <c r="O26" i="3"/>
  <c r="R58" i="3"/>
  <c r="C19" i="3"/>
  <c r="N67" i="3"/>
  <c r="A32" i="3"/>
  <c r="E48" i="3"/>
  <c r="A64" i="3"/>
  <c r="Q80" i="3"/>
  <c r="D49" i="3"/>
  <c r="N42" i="3"/>
  <c r="C51" i="3"/>
  <c r="G83" i="3"/>
  <c r="I81" i="3"/>
  <c r="P65" i="3"/>
  <c r="G33" i="3"/>
  <c r="A74" i="3"/>
  <c r="M35" i="3"/>
  <c r="C58" i="3"/>
  <c r="F19" i="3"/>
  <c r="Q67" i="3"/>
  <c r="N32" i="3"/>
  <c r="B32" i="3"/>
  <c r="P32" i="3"/>
  <c r="S32" i="3"/>
  <c r="C32" i="3"/>
  <c r="A48" i="3"/>
  <c r="N48" i="3"/>
  <c r="P64" i="3"/>
  <c r="H64" i="3"/>
  <c r="D64" i="3"/>
  <c r="G64" i="3"/>
  <c r="A80" i="3"/>
  <c r="I80" i="3"/>
  <c r="S80" i="3"/>
  <c r="C80" i="3"/>
  <c r="F80" i="3"/>
  <c r="N49" i="3"/>
  <c r="B49" i="3"/>
  <c r="P49" i="3"/>
  <c r="S49" i="3"/>
  <c r="C49" i="3"/>
  <c r="G42" i="3"/>
  <c r="M42" i="3"/>
  <c r="P51" i="3"/>
  <c r="D51" i="3"/>
  <c r="R51" i="3"/>
  <c r="B51" i="3"/>
  <c r="E51" i="3"/>
  <c r="S83" i="3"/>
  <c r="N83" i="3"/>
  <c r="Q83" i="3"/>
  <c r="A83" i="3"/>
  <c r="M81" i="3"/>
  <c r="N81" i="3"/>
  <c r="A81" i="3"/>
  <c r="D81" i="3"/>
  <c r="G81" i="3"/>
  <c r="E65" i="3"/>
  <c r="Q65" i="3"/>
  <c r="O65" i="3"/>
  <c r="C33" i="3"/>
  <c r="N33" i="3"/>
  <c r="I33" i="3"/>
  <c r="G74" i="3"/>
  <c r="B74" i="3"/>
  <c r="M74" i="3"/>
  <c r="P74" i="3"/>
  <c r="P35" i="3"/>
  <c r="I35" i="3"/>
  <c r="H35" i="3"/>
  <c r="H26" i="3"/>
  <c r="C26" i="3"/>
  <c r="F26" i="3"/>
  <c r="I26" i="3"/>
  <c r="B58" i="3"/>
  <c r="F58" i="3"/>
  <c r="E58" i="3"/>
  <c r="H58" i="3"/>
  <c r="E19" i="3"/>
  <c r="A19" i="3"/>
  <c r="O19" i="3"/>
  <c r="R19" i="3"/>
  <c r="B19" i="3"/>
  <c r="O67" i="3"/>
  <c r="M67" i="3"/>
  <c r="M32" i="3"/>
  <c r="Q32" i="3"/>
  <c r="O32" i="3"/>
  <c r="Q48" i="3"/>
  <c r="H48" i="3"/>
  <c r="D48" i="3"/>
  <c r="G48" i="3"/>
  <c r="I64" i="3"/>
  <c r="M64" i="3"/>
  <c r="S64" i="3"/>
  <c r="C64" i="3"/>
  <c r="F64" i="3"/>
  <c r="P80" i="3"/>
  <c r="H80" i="3"/>
  <c r="O80" i="3"/>
  <c r="R80" i="3"/>
  <c r="B80" i="3"/>
  <c r="E49" i="3"/>
  <c r="Q49" i="3"/>
  <c r="O49" i="3"/>
  <c r="P42" i="3"/>
  <c r="C42" i="3"/>
  <c r="F42" i="3"/>
  <c r="I42" i="3"/>
  <c r="H51" i="3"/>
  <c r="S51" i="3"/>
  <c r="N51" i="3"/>
  <c r="Q51" i="3"/>
  <c r="A51" i="3"/>
  <c r="D83" i="3"/>
  <c r="M83" i="3"/>
  <c r="R81" i="3"/>
  <c r="E81" i="3"/>
  <c r="P81" i="3"/>
  <c r="S81" i="3"/>
  <c r="C81" i="3"/>
  <c r="M65" i="3"/>
  <c r="R65" i="3"/>
  <c r="I65" i="3"/>
  <c r="H65" i="3"/>
  <c r="B33" i="3"/>
  <c r="F33" i="3"/>
  <c r="E33" i="3"/>
  <c r="H33" i="3"/>
  <c r="C74" i="3"/>
  <c r="S74" i="3"/>
  <c r="N74" i="3"/>
  <c r="I74" i="3"/>
  <c r="D35" i="3"/>
  <c r="A35" i="3"/>
  <c r="G35" i="3"/>
  <c r="F35" i="3"/>
  <c r="G26" i="3"/>
  <c r="D26" i="3"/>
  <c r="R26" i="3"/>
  <c r="B26" i="3"/>
  <c r="E26" i="3"/>
  <c r="O58" i="3"/>
  <c r="Q58" i="3"/>
  <c r="A58" i="3"/>
  <c r="D58" i="3"/>
  <c r="D19" i="3"/>
  <c r="P19" i="3"/>
  <c r="N19" i="3"/>
  <c r="G67" i="3"/>
  <c r="C67" i="3"/>
  <c r="F67" i="3"/>
  <c r="I67" i="3"/>
  <c r="F32" i="3"/>
  <c r="R32" i="3"/>
  <c r="I32" i="3"/>
  <c r="H32" i="3"/>
  <c r="P48" i="3"/>
  <c r="M48" i="3"/>
  <c r="S48" i="3"/>
  <c r="C48" i="3"/>
  <c r="Q64" i="3"/>
  <c r="E64" i="3"/>
  <c r="O64" i="3"/>
  <c r="R64" i="3"/>
  <c r="M80" i="3"/>
  <c r="M49" i="3"/>
  <c r="R49" i="3"/>
  <c r="I49" i="3"/>
  <c r="H49" i="3"/>
  <c r="O42" i="3"/>
  <c r="D42" i="3"/>
  <c r="R42" i="3"/>
  <c r="B42" i="3"/>
  <c r="O51" i="3"/>
  <c r="H83" i="3"/>
  <c r="P83" i="3"/>
  <c r="C83" i="3"/>
  <c r="F83" i="3"/>
  <c r="Q81" i="3"/>
  <c r="F65" i="3"/>
  <c r="A65" i="3"/>
  <c r="D65" i="3"/>
  <c r="S33" i="3"/>
  <c r="O33" i="3"/>
  <c r="Q33" i="3"/>
  <c r="A33" i="3"/>
  <c r="F74" i="3"/>
  <c r="E74" i="3"/>
  <c r="Q35" i="3"/>
  <c r="S35" i="3"/>
  <c r="R35" i="3"/>
  <c r="C35" i="3"/>
  <c r="P26" i="3"/>
  <c r="S26" i="3"/>
  <c r="N26" i="3"/>
  <c r="Q26" i="3"/>
  <c r="S58" i="3"/>
  <c r="G58" i="3"/>
  <c r="M58" i="3"/>
  <c r="M19" i="3"/>
  <c r="Q19" i="3"/>
  <c r="H19" i="3"/>
  <c r="G19" i="3"/>
  <c r="P67" i="3"/>
  <c r="D67" i="3"/>
  <c r="R67" i="3"/>
  <c r="B67" i="3"/>
  <c r="P96" i="3"/>
  <c r="D96" i="3"/>
  <c r="A96" i="3"/>
  <c r="H96" i="3"/>
  <c r="S96" i="3"/>
  <c r="R96" i="3"/>
  <c r="B96" i="3"/>
  <c r="O96" i="3"/>
  <c r="Q96" i="3"/>
  <c r="N96" i="3"/>
  <c r="M96" i="3"/>
  <c r="C96" i="3"/>
  <c r="I96" i="3"/>
  <c r="F96" i="3"/>
  <c r="E96" i="3"/>
  <c r="D99" i="3"/>
  <c r="F99" i="3"/>
  <c r="N99" i="3"/>
  <c r="O99" i="3"/>
  <c r="B99" i="3"/>
  <c r="R99" i="3"/>
  <c r="C99" i="3"/>
  <c r="S99" i="3"/>
  <c r="M99" i="3"/>
  <c r="I99" i="3"/>
  <c r="P99" i="3"/>
  <c r="E99" i="3"/>
  <c r="Q99" i="3"/>
  <c r="A99" i="3"/>
  <c r="H99" i="3"/>
  <c r="B90" i="3"/>
  <c r="F90" i="3"/>
  <c r="N90" i="3"/>
  <c r="R90" i="3"/>
  <c r="C90" i="3"/>
  <c r="G90" i="3"/>
  <c r="O90" i="3"/>
  <c r="S90" i="3"/>
  <c r="D90" i="3"/>
  <c r="H90" i="3"/>
  <c r="P90" i="3"/>
  <c r="A90" i="3"/>
  <c r="E90" i="3"/>
  <c r="I90" i="3"/>
  <c r="M90" i="3"/>
  <c r="Q90" i="3"/>
  <c r="B97" i="3"/>
  <c r="I97" i="3"/>
  <c r="M97" i="3"/>
  <c r="A97" i="3"/>
  <c r="Q97" i="3"/>
  <c r="E97" i="3"/>
  <c r="P97" i="3"/>
  <c r="F97" i="3"/>
  <c r="S97" i="3"/>
  <c r="C97" i="3"/>
  <c r="R97" i="3"/>
  <c r="H97" i="3"/>
  <c r="O97" i="3"/>
  <c r="N97" i="3"/>
  <c r="D97" i="3"/>
  <c r="D92" i="3"/>
  <c r="A92" i="3"/>
  <c r="H92" i="3"/>
  <c r="P92" i="3"/>
  <c r="G92" i="3"/>
  <c r="M92" i="3"/>
  <c r="I92" i="3"/>
  <c r="F92" i="3"/>
  <c r="C92" i="3"/>
  <c r="S92" i="3"/>
  <c r="R92" i="3"/>
  <c r="B92" i="3"/>
  <c r="E92" i="3"/>
  <c r="Q92" i="3"/>
  <c r="N92" i="3"/>
  <c r="O92" i="3"/>
  <c r="B95" i="3"/>
  <c r="R95" i="3"/>
  <c r="C95" i="3"/>
  <c r="S95" i="3"/>
  <c r="D95" i="3"/>
  <c r="F95" i="3"/>
  <c r="N95" i="3"/>
  <c r="O95" i="3"/>
  <c r="E95" i="3"/>
  <c r="P95" i="3"/>
  <c r="Q95" i="3"/>
  <c r="A95" i="3"/>
  <c r="M95" i="3"/>
  <c r="H95" i="3"/>
  <c r="I95" i="3"/>
  <c r="D86" i="3"/>
  <c r="H86" i="3"/>
  <c r="P86" i="3"/>
  <c r="A86" i="3"/>
  <c r="E86" i="3"/>
  <c r="I86" i="3"/>
  <c r="M86" i="3"/>
  <c r="Q86" i="3"/>
  <c r="B86" i="3"/>
  <c r="F86" i="3"/>
  <c r="N86" i="3"/>
  <c r="R86" i="3"/>
  <c r="C86" i="3"/>
  <c r="G86" i="3"/>
  <c r="O86" i="3"/>
  <c r="S86" i="3"/>
  <c r="B93" i="3"/>
  <c r="A93" i="3"/>
  <c r="Q93" i="3"/>
  <c r="E93" i="3"/>
  <c r="I93" i="3"/>
  <c r="M93" i="3"/>
  <c r="P93" i="3"/>
  <c r="F93" i="3"/>
  <c r="G93" i="3"/>
  <c r="R93" i="3"/>
  <c r="H93" i="3"/>
  <c r="S93" i="3"/>
  <c r="C93" i="3"/>
  <c r="N93" i="3"/>
  <c r="D93" i="3"/>
  <c r="O93" i="3"/>
  <c r="P88" i="3"/>
  <c r="D88" i="3"/>
  <c r="A88" i="3"/>
  <c r="H88" i="3"/>
  <c r="O88" i="3"/>
  <c r="R88" i="3"/>
  <c r="B88" i="3"/>
  <c r="C88" i="3"/>
  <c r="I88" i="3"/>
  <c r="E88" i="3"/>
  <c r="G88" i="3"/>
  <c r="N88" i="3"/>
  <c r="S88" i="3"/>
  <c r="Q88" i="3"/>
  <c r="M88" i="3"/>
  <c r="F88" i="3"/>
  <c r="D91" i="3"/>
  <c r="F91" i="3"/>
  <c r="N91" i="3"/>
  <c r="G91" i="3"/>
  <c r="O91" i="3"/>
  <c r="B91" i="3"/>
  <c r="R91" i="3"/>
  <c r="C91" i="3"/>
  <c r="S91" i="3"/>
  <c r="M91" i="3"/>
  <c r="I91" i="3"/>
  <c r="H91" i="3"/>
  <c r="E91" i="3"/>
  <c r="Q91" i="3"/>
  <c r="A91" i="3"/>
  <c r="P91" i="3"/>
  <c r="B98" i="3"/>
  <c r="F98" i="3"/>
  <c r="N98" i="3"/>
  <c r="R98" i="3"/>
  <c r="C98" i="3"/>
  <c r="O98" i="3"/>
  <c r="S98" i="3"/>
  <c r="D98" i="3"/>
  <c r="H98" i="3"/>
  <c r="P98" i="3"/>
  <c r="A98" i="3"/>
  <c r="E98" i="3"/>
  <c r="I98" i="3"/>
  <c r="M98" i="3"/>
  <c r="Q98" i="3"/>
  <c r="B89" i="3"/>
  <c r="I89" i="3"/>
  <c r="M89" i="3"/>
  <c r="A89" i="3"/>
  <c r="Q89" i="3"/>
  <c r="E89" i="3"/>
  <c r="P89" i="3"/>
  <c r="O89" i="3"/>
  <c r="F89" i="3"/>
  <c r="R89" i="3"/>
  <c r="H89" i="3"/>
  <c r="G89" i="3"/>
  <c r="N89" i="3"/>
  <c r="D89" i="3"/>
  <c r="S89" i="3"/>
  <c r="C89" i="3"/>
  <c r="D100" i="3"/>
  <c r="A100" i="3"/>
  <c r="H100" i="3"/>
  <c r="P100" i="3"/>
  <c r="E100" i="3"/>
  <c r="O100" i="3"/>
  <c r="F100" i="3"/>
  <c r="Q100" i="3"/>
  <c r="R100" i="3"/>
  <c r="B100" i="3"/>
  <c r="S100" i="3"/>
  <c r="M100" i="3"/>
  <c r="C100" i="3"/>
  <c r="N100" i="3"/>
  <c r="I100" i="3"/>
  <c r="B87" i="3"/>
  <c r="R87" i="3"/>
  <c r="C87" i="3"/>
  <c r="S87" i="3"/>
  <c r="D87" i="3"/>
  <c r="F87" i="3"/>
  <c r="N87" i="3"/>
  <c r="G87" i="3"/>
  <c r="O87" i="3"/>
  <c r="E87" i="3"/>
  <c r="H87" i="3"/>
  <c r="Q87" i="3"/>
  <c r="A87" i="3"/>
  <c r="M87" i="3"/>
  <c r="P87" i="3"/>
  <c r="I87" i="3"/>
  <c r="D94" i="3"/>
  <c r="H94" i="3"/>
  <c r="P94" i="3"/>
  <c r="A94" i="3"/>
  <c r="E94" i="3"/>
  <c r="I94" i="3"/>
  <c r="M94" i="3"/>
  <c r="Q94" i="3"/>
  <c r="B94" i="3"/>
  <c r="F94" i="3"/>
  <c r="N94" i="3"/>
  <c r="R94" i="3"/>
  <c r="C94" i="3"/>
  <c r="G94" i="3"/>
  <c r="O94" i="3"/>
  <c r="S94" i="3"/>
  <c r="B101" i="3"/>
  <c r="A101" i="3"/>
  <c r="Q101" i="3"/>
  <c r="E101" i="3"/>
  <c r="I101" i="3"/>
  <c r="M101" i="3"/>
  <c r="P101" i="3"/>
  <c r="S101" i="3"/>
  <c r="C101" i="3"/>
  <c r="F101" i="3"/>
  <c r="L101" i="3"/>
  <c r="O101" i="3"/>
  <c r="R101" i="3"/>
  <c r="H101" i="3"/>
  <c r="N101" i="3"/>
  <c r="D101" i="3"/>
  <c r="G101" i="3"/>
  <c r="J101" i="3"/>
  <c r="B85" i="3"/>
  <c r="A85" i="3"/>
  <c r="Q85" i="3"/>
  <c r="E85" i="3"/>
  <c r="I85" i="3"/>
  <c r="M85" i="3"/>
  <c r="P85" i="3"/>
  <c r="S85" i="3"/>
  <c r="C85" i="3"/>
  <c r="F85" i="3"/>
  <c r="O85" i="3"/>
  <c r="R85" i="3"/>
  <c r="H85" i="3"/>
  <c r="N85" i="3"/>
  <c r="D85" i="3"/>
  <c r="G85" i="3"/>
</calcChain>
</file>

<file path=xl/sharedStrings.xml><?xml version="1.0" encoding="utf-8"?>
<sst xmlns="http://schemas.openxmlformats.org/spreadsheetml/2006/main" count="2188" uniqueCount="478">
  <si>
    <t>Modèle</t>
  </si>
  <si>
    <t>Réf Constructeur</t>
  </si>
  <si>
    <t>Prix Public</t>
  </si>
  <si>
    <t>Portée</t>
  </si>
  <si>
    <t>Talk Time</t>
  </si>
  <si>
    <t>Autonomie</t>
  </si>
  <si>
    <t>Nombre de micros</t>
  </si>
  <si>
    <t>Dongle</t>
  </si>
  <si>
    <t>Poids</t>
  </si>
  <si>
    <t>Optimized Skype</t>
  </si>
  <si>
    <t>Garantie</t>
  </si>
  <si>
    <t>Mono/Bino</t>
  </si>
  <si>
    <t>Conference</t>
  </si>
  <si>
    <t>Support Bruit au travail</t>
  </si>
  <si>
    <t>Styles de port</t>
  </si>
  <si>
    <t>Options</t>
  </si>
  <si>
    <t>Constructeur</t>
  </si>
  <si>
    <t>Connectivité</t>
  </si>
  <si>
    <t>Sans-fil/Filaire</t>
  </si>
  <si>
    <t>JABRA</t>
  </si>
  <si>
    <t>PRO 930 MONO</t>
  </si>
  <si>
    <t>PRO 930 MONO MS</t>
  </si>
  <si>
    <t>PRO 930 DUO</t>
  </si>
  <si>
    <t>PRO 930 DUO MS</t>
  </si>
  <si>
    <t>Sans Fil</t>
  </si>
  <si>
    <t>930-25-509-101</t>
  </si>
  <si>
    <t>930-25-503-101</t>
  </si>
  <si>
    <t>930-29-509-101</t>
  </si>
  <si>
    <t>930-29-503-101</t>
  </si>
  <si>
    <t>PC</t>
  </si>
  <si>
    <t>Mono</t>
  </si>
  <si>
    <t>Bino</t>
  </si>
  <si>
    <t>PLANTRONICS</t>
  </si>
  <si>
    <t>84007-04</t>
  </si>
  <si>
    <t>84007-02</t>
  </si>
  <si>
    <t>84008-04</t>
  </si>
  <si>
    <t>84008-02</t>
  </si>
  <si>
    <t>82396-12</t>
  </si>
  <si>
    <t>82397-12</t>
  </si>
  <si>
    <t>203946-02</t>
  </si>
  <si>
    <t>203947-02</t>
  </si>
  <si>
    <t>SAVI 410</t>
  </si>
  <si>
    <t>SAVI 410 - M</t>
  </si>
  <si>
    <t>SAVI 420</t>
  </si>
  <si>
    <t>SAVI 420 - M</t>
  </si>
  <si>
    <t>SAVI 430</t>
  </si>
  <si>
    <t>SAVI 430 - M</t>
  </si>
  <si>
    <t>SAVI 440</t>
  </si>
  <si>
    <t>SAVI 440 - M</t>
  </si>
  <si>
    <t>Filaire</t>
  </si>
  <si>
    <t>TEL</t>
  </si>
  <si>
    <t>TEL + GSM</t>
  </si>
  <si>
    <t>GSM + PC</t>
  </si>
  <si>
    <t>PC + TEL</t>
  </si>
  <si>
    <t>PC + TEL + GSM</t>
  </si>
  <si>
    <t>SENNHEISER</t>
  </si>
  <si>
    <t>D10 USB</t>
  </si>
  <si>
    <t>D10 USB ML</t>
  </si>
  <si>
    <t>DW Office USB</t>
  </si>
  <si>
    <t>DW Office USB ML</t>
  </si>
  <si>
    <t>DW Pro 1 USB</t>
  </si>
  <si>
    <t>DW Pro 1 USB ML</t>
  </si>
  <si>
    <t>DW Pro 2 USB</t>
  </si>
  <si>
    <t>DW Pro 2 USB ML</t>
  </si>
  <si>
    <t>120m</t>
  </si>
  <si>
    <t>8h</t>
  </si>
  <si>
    <t>9h</t>
  </si>
  <si>
    <t>6h</t>
  </si>
  <si>
    <t>7h</t>
  </si>
  <si>
    <t>11h</t>
  </si>
  <si>
    <t>36h</t>
  </si>
  <si>
    <t>50h</t>
  </si>
  <si>
    <t>40h</t>
  </si>
  <si>
    <t>100h</t>
  </si>
  <si>
    <t>4 casques sur même base</t>
  </si>
  <si>
    <t>27g</t>
  </si>
  <si>
    <t>37g</t>
  </si>
  <si>
    <t>72g</t>
  </si>
  <si>
    <t>94g</t>
  </si>
  <si>
    <t>25g</t>
  </si>
  <si>
    <t>21g</t>
  </si>
  <si>
    <t>22g</t>
  </si>
  <si>
    <t>65g</t>
  </si>
  <si>
    <t>85g</t>
  </si>
  <si>
    <t>Non</t>
  </si>
  <si>
    <t>Oui</t>
  </si>
  <si>
    <t>1 an</t>
  </si>
  <si>
    <t>2 ans</t>
  </si>
  <si>
    <t>PRO 920 MONO</t>
  </si>
  <si>
    <t>PRO 920 DUO</t>
  </si>
  <si>
    <t>CS510</t>
  </si>
  <si>
    <t>CS520</t>
  </si>
  <si>
    <t>CS530</t>
  </si>
  <si>
    <t>CS540</t>
  </si>
  <si>
    <t>C565 (pour DECT)</t>
  </si>
  <si>
    <t>D10</t>
  </si>
  <si>
    <t>DW Office Phone</t>
  </si>
  <si>
    <t>DW Pro 1 Phone</t>
  </si>
  <si>
    <t>DW Pro 2 Phone</t>
  </si>
  <si>
    <t>920-25-508-101</t>
  </si>
  <si>
    <t>920-29-508-101</t>
  </si>
  <si>
    <t>84691-02</t>
  </si>
  <si>
    <t>84692-02</t>
  </si>
  <si>
    <t>86305-02</t>
  </si>
  <si>
    <t>84693-02</t>
  </si>
  <si>
    <t>201827-02</t>
  </si>
  <si>
    <t>150m</t>
  </si>
  <si>
    <t>60h</t>
  </si>
  <si>
    <t>38g</t>
  </si>
  <si>
    <t>28g</t>
  </si>
  <si>
    <t>Contour de nuque contour d'oreille</t>
  </si>
  <si>
    <t>Contour de nuque</t>
  </si>
  <si>
    <t>PRO 925 MONO</t>
  </si>
  <si>
    <t>Voyager Legend CS</t>
  </si>
  <si>
    <t>925-15-508-201</t>
  </si>
  <si>
    <t>88863-02</t>
  </si>
  <si>
    <t>100m</t>
  </si>
  <si>
    <t>12m</t>
  </si>
  <si>
    <t>12h</t>
  </si>
  <si>
    <t>150h</t>
  </si>
  <si>
    <t>11j</t>
  </si>
  <si>
    <t>18g</t>
  </si>
  <si>
    <t>STEALTH UC</t>
  </si>
  <si>
    <t>STEALTH UC MS</t>
  </si>
  <si>
    <t>MOTION UC</t>
  </si>
  <si>
    <t>MOTION UC MS</t>
  </si>
  <si>
    <t>PRO 935</t>
  </si>
  <si>
    <t>PRO 935 MS</t>
  </si>
  <si>
    <t>EVOLVE 65 MONO</t>
  </si>
  <si>
    <t>EVOLVE 65 MONO MS</t>
  </si>
  <si>
    <t>EVOLVE 65 BINO</t>
  </si>
  <si>
    <t>EVOLVE 65 BINO MS</t>
  </si>
  <si>
    <t>5578-230-109</t>
  </si>
  <si>
    <t>5578-230-309</t>
  </si>
  <si>
    <t>6630-900-141</t>
  </si>
  <si>
    <t>6630-900-341</t>
  </si>
  <si>
    <t xml:space="preserve">935-15-509-201 </t>
  </si>
  <si>
    <t>935-15-503-201</t>
  </si>
  <si>
    <t>6593-829-409</t>
  </si>
  <si>
    <t>6593-823-309</t>
  </si>
  <si>
    <t>6599-829-409</t>
  </si>
  <si>
    <t>6599-823-309</t>
  </si>
  <si>
    <t>10m - 30m(PC)</t>
  </si>
  <si>
    <t>10m - 50/120m(PC)</t>
  </si>
  <si>
    <t>30m</t>
  </si>
  <si>
    <t>10h</t>
  </si>
  <si>
    <t>360h</t>
  </si>
  <si>
    <t>15 jours</t>
  </si>
  <si>
    <t>17,5g</t>
  </si>
  <si>
    <t>79g</t>
  </si>
  <si>
    <t>111g</t>
  </si>
  <si>
    <t>Voyager Legend UC</t>
  </si>
  <si>
    <t>Voyager Legend UC - M</t>
  </si>
  <si>
    <t>Voyager EDGE UC</t>
  </si>
  <si>
    <t>Voyager EDGE UC MS</t>
  </si>
  <si>
    <t>Voyager 5200 UC</t>
  </si>
  <si>
    <t>Voyager Focus UC (sans socle)</t>
  </si>
  <si>
    <t>Voyager Focus UC</t>
  </si>
  <si>
    <t>Voyager Focus UC - M (sans socle)</t>
  </si>
  <si>
    <t>Voyager Focus UC - M</t>
  </si>
  <si>
    <t>87670-02</t>
  </si>
  <si>
    <t>87680-02</t>
  </si>
  <si>
    <t>202310-02</t>
  </si>
  <si>
    <t>202320-02</t>
  </si>
  <si>
    <t>206110-01</t>
  </si>
  <si>
    <t>202652-03</t>
  </si>
  <si>
    <t>202652-01</t>
  </si>
  <si>
    <t>202652-04</t>
  </si>
  <si>
    <t>202652-02</t>
  </si>
  <si>
    <t>10m</t>
  </si>
  <si>
    <t>10m - 50m</t>
  </si>
  <si>
    <t>45m</t>
  </si>
  <si>
    <t>11 jours</t>
  </si>
  <si>
    <t>7 jours</t>
  </si>
  <si>
    <t>15h</t>
  </si>
  <si>
    <t>9g</t>
  </si>
  <si>
    <t>20g</t>
  </si>
  <si>
    <t>155g</t>
  </si>
  <si>
    <t>MB Pro 1 UC</t>
  </si>
  <si>
    <t>MB Pro 1 UC ML</t>
  </si>
  <si>
    <t>MB Pro 2 UC</t>
  </si>
  <si>
    <t>MB Pro 2 UC ML</t>
  </si>
  <si>
    <t>25m</t>
  </si>
  <si>
    <t>63g</t>
  </si>
  <si>
    <t>9470-26-904-101</t>
  </si>
  <si>
    <t>9465-29-804-101</t>
  </si>
  <si>
    <t>6670-904-141</t>
  </si>
  <si>
    <t>6670-904-341</t>
  </si>
  <si>
    <t>PRO™ 9470 MONO</t>
  </si>
  <si>
    <t>PRO™ 9465 DUO</t>
  </si>
  <si>
    <t>MOTION OFFICE</t>
  </si>
  <si>
    <t>MOTION OFFICE MS</t>
  </si>
  <si>
    <t>36,5g</t>
  </si>
  <si>
    <t>SAVI W710</t>
  </si>
  <si>
    <t>SAVI W710 - M</t>
  </si>
  <si>
    <t>SAVI W720</t>
  </si>
  <si>
    <t>SAVI W720 - M</t>
  </si>
  <si>
    <t>SAVI W730</t>
  </si>
  <si>
    <t>SAVI W730   - M</t>
  </si>
  <si>
    <t>SAVI W740</t>
  </si>
  <si>
    <t>SAVI W740 -   M</t>
  </si>
  <si>
    <t>83545-12</t>
  </si>
  <si>
    <t>84003-02</t>
  </si>
  <si>
    <t>83544-12</t>
  </si>
  <si>
    <t>84004-02</t>
  </si>
  <si>
    <t>83543-12</t>
  </si>
  <si>
    <t>84002-12</t>
  </si>
  <si>
    <t>83542-12</t>
  </si>
  <si>
    <t>84001-12</t>
  </si>
  <si>
    <t>Test 1</t>
  </si>
  <si>
    <t>Test 2</t>
  </si>
  <si>
    <t>Test 3</t>
  </si>
  <si>
    <t>Test 4</t>
  </si>
  <si>
    <t>Test All</t>
  </si>
  <si>
    <t>Calcul 1</t>
  </si>
  <si>
    <t>Calcul 2</t>
  </si>
  <si>
    <t>PRO™ 9460 MONO</t>
  </si>
  <si>
    <t xml:space="preserve"> PRO™ 9460 DUO</t>
  </si>
  <si>
    <t>PRO 9450 MONO</t>
  </si>
  <si>
    <t>PRO 9450      DUO</t>
  </si>
  <si>
    <t>9460-25-707-101</t>
  </si>
  <si>
    <t>9460-29-707-101</t>
  </si>
  <si>
    <t>9450-25-507-101</t>
  </si>
  <si>
    <t>9450-29-707-101</t>
  </si>
  <si>
    <t>38h</t>
  </si>
  <si>
    <t>46h</t>
  </si>
  <si>
    <t>31g</t>
  </si>
  <si>
    <t>34g</t>
  </si>
  <si>
    <t>Serre-tête -  Contour d'oreille</t>
  </si>
  <si>
    <t>DW Office</t>
  </si>
  <si>
    <t>DW Office ML</t>
  </si>
  <si>
    <t>DW Pro 1</t>
  </si>
  <si>
    <t>DW Pro 1 ML</t>
  </si>
  <si>
    <t>DW Pro 2</t>
  </si>
  <si>
    <t>DW Pro 2 ML</t>
  </si>
  <si>
    <t>Serre-tête</t>
  </si>
  <si>
    <t>50g</t>
  </si>
  <si>
    <t>Speakerphone</t>
  </si>
  <si>
    <t>SPEAK 510 UC (Dongle)</t>
  </si>
  <si>
    <t>SPEAK 510 MS</t>
  </si>
  <si>
    <t>SPEAK 510</t>
  </si>
  <si>
    <t>SPEAK 810</t>
  </si>
  <si>
    <t>SPEAK 810 - M</t>
  </si>
  <si>
    <t>CALISTO 620</t>
  </si>
  <si>
    <t>CALISTO 620 - M</t>
  </si>
  <si>
    <t>7510-409</t>
  </si>
  <si>
    <t>7510-109</t>
  </si>
  <si>
    <t>7510-209</t>
  </si>
  <si>
    <t>7810-209</t>
  </si>
  <si>
    <t>7810-109</t>
  </si>
  <si>
    <t>86700-02</t>
  </si>
  <si>
    <t>86701-02</t>
  </si>
  <si>
    <t>50m</t>
  </si>
  <si>
    <t>5 jours</t>
  </si>
  <si>
    <t>300g</t>
  </si>
  <si>
    <t>430g</t>
  </si>
  <si>
    <t>Marque</t>
  </si>
  <si>
    <t>Réf constructeur</t>
  </si>
  <si>
    <t>PRIX</t>
  </si>
  <si>
    <t>Connexion</t>
  </si>
  <si>
    <t>GN 2100 Mono Flex</t>
  </si>
  <si>
    <t>GN 2100 Duo Flex</t>
  </si>
  <si>
    <t>BIZ 2300 Mono</t>
  </si>
  <si>
    <t>BIZ 2300 Duo</t>
  </si>
  <si>
    <t>BIZ 2400 II Mono</t>
  </si>
  <si>
    <t>BIZ 2400 II Duo</t>
  </si>
  <si>
    <t>2126-82-04</t>
  </si>
  <si>
    <t>2129-82-04</t>
  </si>
  <si>
    <t>2303-820-104</t>
  </si>
  <si>
    <t>2309-820-104</t>
  </si>
  <si>
    <t>2406-820-204</t>
  </si>
  <si>
    <t>2409-820-204</t>
  </si>
  <si>
    <t>55g</t>
  </si>
  <si>
    <t>48g</t>
  </si>
  <si>
    <t>68g</t>
  </si>
  <si>
    <t>195g</t>
  </si>
  <si>
    <t>QD</t>
  </si>
  <si>
    <t>3 ans</t>
  </si>
  <si>
    <t>40g</t>
  </si>
  <si>
    <t xml:space="preserve">PLANTRONICS </t>
  </si>
  <si>
    <t>ENTERA HW11N/A</t>
  </si>
  <si>
    <t>ENTERA HW121N/A</t>
  </si>
  <si>
    <t>Supraplus HW251N/A</t>
  </si>
  <si>
    <t>Supraplus HW261N/A</t>
  </si>
  <si>
    <t>Encore Pro 540</t>
  </si>
  <si>
    <t>Encore Pro 530</t>
  </si>
  <si>
    <t>Encore Pro 510</t>
  </si>
  <si>
    <t>Encore Pro 520</t>
  </si>
  <si>
    <t>Encore Pro 710</t>
  </si>
  <si>
    <t>Encore Pro 720</t>
  </si>
  <si>
    <t>79180-03</t>
  </si>
  <si>
    <t>79181-03</t>
  </si>
  <si>
    <t>36832-41</t>
  </si>
  <si>
    <t>36834-41</t>
  </si>
  <si>
    <t>88828-02</t>
  </si>
  <si>
    <t>201500-02</t>
  </si>
  <si>
    <t>89433-02</t>
  </si>
  <si>
    <t>89434-02</t>
  </si>
  <si>
    <t>78712-102</t>
  </si>
  <si>
    <t>78714-102</t>
  </si>
  <si>
    <t>60g</t>
  </si>
  <si>
    <t>49g</t>
  </si>
  <si>
    <t>32g</t>
  </si>
  <si>
    <t>26g</t>
  </si>
  <si>
    <t>52g</t>
  </si>
  <si>
    <t>74g</t>
  </si>
  <si>
    <t>43,5g</t>
  </si>
  <si>
    <t>61,5g</t>
  </si>
  <si>
    <t>SC 630</t>
  </si>
  <si>
    <t>SC 660</t>
  </si>
  <si>
    <t>SC 230</t>
  </si>
  <si>
    <t>SC 260</t>
  </si>
  <si>
    <t>77g</t>
  </si>
  <si>
    <t>110g</t>
  </si>
  <si>
    <t>58g</t>
  </si>
  <si>
    <t>86g</t>
  </si>
  <si>
    <t>Microsoft Skype</t>
  </si>
  <si>
    <t>Evolve 20 UC Mono</t>
  </si>
  <si>
    <t>Evolve 20 UC Bino</t>
  </si>
  <si>
    <t>Evolve 20 MS Mono</t>
  </si>
  <si>
    <t>Evolve 20 MS Bino</t>
  </si>
  <si>
    <t>Evolve 30 UC Mono</t>
  </si>
  <si>
    <t>Evolve 30 UC Bino</t>
  </si>
  <si>
    <t>Evolve 30 MS Mono</t>
  </si>
  <si>
    <t>Evolve 30 MS Bino</t>
  </si>
  <si>
    <t>Evolve 40 UC Mono</t>
  </si>
  <si>
    <t>Evolve 40 UC Bino</t>
  </si>
  <si>
    <t>Evolve 40 MS Mono</t>
  </si>
  <si>
    <t>Evolve 40 MS Bino</t>
  </si>
  <si>
    <t>Evolve 80 UC Bino</t>
  </si>
  <si>
    <t>Evolve 80 MS Bino</t>
  </si>
  <si>
    <t>Biz 2300 USB, UC Mono</t>
  </si>
  <si>
    <t>Biz 2300 USB, UC Bino</t>
  </si>
  <si>
    <t>Biz 2300 USB MS Mono</t>
  </si>
  <si>
    <t>Biz 2300 USB MS Bino</t>
  </si>
  <si>
    <t>Biz 2400 II USB UC Mono</t>
  </si>
  <si>
    <t>Biz 2400 II USB UC Bino</t>
  </si>
  <si>
    <t>Biz 2400 II USB MS Mono</t>
  </si>
  <si>
    <t>Biz 2400 II USB MS Bino</t>
  </si>
  <si>
    <t>VOICE 150 UC Mono</t>
  </si>
  <si>
    <t>VOICE 150 UC Bino</t>
  </si>
  <si>
    <t>VOICE 150 MS Mono</t>
  </si>
  <si>
    <t>VOICE 150 MS Bino</t>
  </si>
  <si>
    <t>VOICE 250 UC</t>
  </si>
  <si>
    <t>VOICE 250 MS</t>
  </si>
  <si>
    <t>VOICE 550 UC Mono</t>
  </si>
  <si>
    <t>VOICE 550 UC Bino</t>
  </si>
  <si>
    <t>VOICE 550 MS Mono</t>
  </si>
  <si>
    <t>VOICE 550 MS Bino</t>
  </si>
  <si>
    <t>VOICE 750 UC Mono</t>
  </si>
  <si>
    <t>VOICE 750 UC Bino</t>
  </si>
  <si>
    <t>VOICE 750 MS Mono</t>
  </si>
  <si>
    <t>VOICE 750 MS Bino</t>
  </si>
  <si>
    <t>Contour d'oreille</t>
  </si>
  <si>
    <t>4993-829-209</t>
  </si>
  <si>
    <t>4999-829-209</t>
  </si>
  <si>
    <t>4993-823-109</t>
  </si>
  <si>
    <t>4999-823-109</t>
  </si>
  <si>
    <t>5393-829-209</t>
  </si>
  <si>
    <t>5393-823-109</t>
  </si>
  <si>
    <t>5399-823-109</t>
  </si>
  <si>
    <t>6393-829-209</t>
  </si>
  <si>
    <t>6399-829-209</t>
  </si>
  <si>
    <t>6393-823-109</t>
  </si>
  <si>
    <t>6399-823-109</t>
  </si>
  <si>
    <t>7899-829-209</t>
  </si>
  <si>
    <t>7899823-109</t>
  </si>
  <si>
    <t>2393-829-109</t>
  </si>
  <si>
    <t>2399-829-109</t>
  </si>
  <si>
    <t>2393-823-109</t>
  </si>
  <si>
    <t>2399-823-109</t>
  </si>
  <si>
    <t>2496-829-309</t>
  </si>
  <si>
    <t>2499-829-309</t>
  </si>
  <si>
    <t>2496-823-309</t>
  </si>
  <si>
    <t>2499-823-309</t>
  </si>
  <si>
    <t>1593-829-209</t>
  </si>
  <si>
    <t>1599-829-209</t>
  </si>
  <si>
    <t>1593-823-109</t>
  </si>
  <si>
    <t>1599-823-109</t>
  </si>
  <si>
    <t>2507-829-209</t>
  </si>
  <si>
    <t>2507-823-109</t>
  </si>
  <si>
    <t>5593-829-209</t>
  </si>
  <si>
    <t>5599-829-209</t>
  </si>
  <si>
    <t>5593-823-109</t>
  </si>
  <si>
    <t>5599-823-109</t>
  </si>
  <si>
    <t>7593-829-409</t>
  </si>
  <si>
    <t>7599-829-409</t>
  </si>
  <si>
    <t>7593-823-309</t>
  </si>
  <si>
    <t>7599-823-309</t>
  </si>
  <si>
    <t>5399-823-209</t>
  </si>
  <si>
    <t>USB</t>
  </si>
  <si>
    <t>200g</t>
  </si>
  <si>
    <t>260g</t>
  </si>
  <si>
    <t>650g</t>
  </si>
  <si>
    <t>51g</t>
  </si>
  <si>
    <t>56g</t>
  </si>
  <si>
    <t>Blackwire C215</t>
  </si>
  <si>
    <t>Blackwire C225</t>
  </si>
  <si>
    <t>Blackwire C310</t>
  </si>
  <si>
    <t>Blackwire C310-M</t>
  </si>
  <si>
    <t>Blackwire C320</t>
  </si>
  <si>
    <t>Blackwire C320-M</t>
  </si>
  <si>
    <t>Blackwire C315</t>
  </si>
  <si>
    <t>Blackwire C315-M</t>
  </si>
  <si>
    <t>Blackwire C325</t>
  </si>
  <si>
    <t>Blackwire C325-M</t>
  </si>
  <si>
    <t>Blackwire   C435</t>
  </si>
  <si>
    <t>Blackwire   C435-M</t>
  </si>
  <si>
    <t>Blackwire C510</t>
  </si>
  <si>
    <t>Blackwire C510-M</t>
  </si>
  <si>
    <t>Blackwire C520</t>
  </si>
  <si>
    <t>Blackwire C520-M</t>
  </si>
  <si>
    <t>Blackwire C710</t>
  </si>
  <si>
    <t>Blackwire C710-M</t>
  </si>
  <si>
    <t>Blackwire C720</t>
  </si>
  <si>
    <t>Blackwire C720-M</t>
  </si>
  <si>
    <t>Blackwire C725</t>
  </si>
  <si>
    <t>Blackwire C725-M</t>
  </si>
  <si>
    <t>205203-02</t>
  </si>
  <si>
    <t>205204-02</t>
  </si>
  <si>
    <t>85618-02</t>
  </si>
  <si>
    <t>85618-01</t>
  </si>
  <si>
    <t>85619-02</t>
  </si>
  <si>
    <t>85619-01</t>
  </si>
  <si>
    <t>204440-02</t>
  </si>
  <si>
    <t>200264-01</t>
  </si>
  <si>
    <t>204446-02</t>
  </si>
  <si>
    <t>200263-01</t>
  </si>
  <si>
    <t>85800-05</t>
  </si>
  <si>
    <t>85801-05</t>
  </si>
  <si>
    <t>88860-01</t>
  </si>
  <si>
    <t>88860-02</t>
  </si>
  <si>
    <t>88861-01</t>
  </si>
  <si>
    <t>88861-02</t>
  </si>
  <si>
    <t>87505-02</t>
  </si>
  <si>
    <t>87505-01</t>
  </si>
  <si>
    <t>87506-12</t>
  </si>
  <si>
    <t>87506-01</t>
  </si>
  <si>
    <t>202580-01</t>
  </si>
  <si>
    <t>202581-01</t>
  </si>
  <si>
    <t>Jack 3,5</t>
  </si>
  <si>
    <t>USB/Bluetooth</t>
  </si>
  <si>
    <t>USB/Jack 3,5</t>
  </si>
  <si>
    <t>SC 630 USB CTRL</t>
  </si>
  <si>
    <t>SC 630 USB ML</t>
  </si>
  <si>
    <t>SC 660 USB CTRL</t>
  </si>
  <si>
    <t>SC 660 USB ML</t>
  </si>
  <si>
    <t xml:space="preserve">SC 230 USB </t>
  </si>
  <si>
    <t>SC 230 USB CTRL II</t>
  </si>
  <si>
    <t>SC 230 USB MS II</t>
  </si>
  <si>
    <t>SC 260 USB</t>
  </si>
  <si>
    <t>SC 260 USB CTRL II</t>
  </si>
  <si>
    <t>SC 260 USB MS II</t>
  </si>
  <si>
    <t>SC 40 USB CTRL</t>
  </si>
  <si>
    <t>SC 40 USB MS</t>
  </si>
  <si>
    <t>SC 70 USB CTRL</t>
  </si>
  <si>
    <t>SC 70 USB MS</t>
  </si>
  <si>
    <t>SC 75</t>
  </si>
  <si>
    <t>SC 75 USB CTRL</t>
  </si>
  <si>
    <t>SC 75 USB MS</t>
  </si>
  <si>
    <t>SC 30 USB CTRL</t>
  </si>
  <si>
    <t>SC 30 USB ML</t>
  </si>
  <si>
    <t>SC 60 USB CTRL</t>
  </si>
  <si>
    <t>SC 60 USB ML</t>
  </si>
  <si>
    <t>134g</t>
  </si>
  <si>
    <t>92g</t>
  </si>
  <si>
    <t>82g</t>
  </si>
  <si>
    <t>106g</t>
  </si>
  <si>
    <t>TEL ou PC ou GSM</t>
  </si>
  <si>
    <t>SP10</t>
  </si>
  <si>
    <t>SP10 ML</t>
  </si>
  <si>
    <t>SP20</t>
  </si>
  <si>
    <t>SP20 ML</t>
  </si>
  <si>
    <t>USB / jack 3,5</t>
  </si>
  <si>
    <t xml:space="preserve">PC </t>
  </si>
  <si>
    <t>PC / GSM</t>
  </si>
  <si>
    <t>Serre-tête/Contour d'oreille/Contour de nuque</t>
  </si>
  <si>
    <t>Contour de nuque/Contour d'oreille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</si>
</sst>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#,##0\ &quot;€&quot;;[Red]\-#,##0\ &quot;€&quot;"/>
    <numFmt numFmtId="8" formatCode="#,##0.00\ &quot;€&quot;;[Red]\-#,##0.00\ &quot;€&quot;"/>
    <numFmt numFmtId="164" formatCode="#,##0.00\ &quot;€&quot;"/>
    <numFmt numFmtId="165" formatCode="##"/>
    <numFmt numFmtId="166" formatCode="_-* #,##0.00\ [$€-40C]_-;\-* #,##0.00\ [$€-40C]_-;_-* &quot;-&quot;??\ [$€-40C]_-;_-@_-"/>
    <numFmt numFmtId="167" formatCode="_-* #,##0.00\ [$€-1]_-;\-* #,##0.00\ [$€-1]_-;_-* &quot;-&quot;??\ [$€-1]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3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6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ill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" fillId="2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6" fontId="6" fillId="0" borderId="0" xfId="2" applyNumberFormat="1" applyFont="1" applyFill="1" applyBorder="1" applyAlignment="1">
      <alignment horizontal="center"/>
    </xf>
    <xf numFmtId="0" fontId="6" fillId="0" borderId="0" xfId="2" applyFont="1" applyFill="1" applyBorder="1" applyAlignment="1">
      <alignment horizontal="center" wrapText="1"/>
    </xf>
    <xf numFmtId="6" fontId="6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164" fontId="6" fillId="0" borderId="0" xfId="2" applyNumberFormat="1" applyFont="1" applyFill="1" applyBorder="1" applyAlignment="1">
      <alignment horizontal="center" vertical="center"/>
    </xf>
    <xf numFmtId="8" fontId="0" fillId="0" borderId="0" xfId="0" applyNumberFormat="1" applyFill="1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 vertical="center"/>
    </xf>
    <xf numFmtId="6" fontId="6" fillId="0" borderId="0" xfId="2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7" fillId="0" borderId="0" xfId="2" applyFont="1" applyFill="1" applyBorder="1" applyAlignment="1">
      <alignment horizontal="center" wrapText="1"/>
    </xf>
    <xf numFmtId="0" fontId="7" fillId="0" borderId="0" xfId="2" applyFont="1" applyFill="1" applyBorder="1" applyAlignment="1">
      <alignment horizontal="center" vertical="center"/>
    </xf>
    <xf numFmtId="0" fontId="7" fillId="0" borderId="0" xfId="2" applyFont="1" applyFill="1" applyBorder="1"/>
    <xf numFmtId="0" fontId="1" fillId="0" borderId="0" xfId="0" applyFont="1" applyBorder="1"/>
    <xf numFmtId="0" fontId="7" fillId="0" borderId="0" xfId="2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 wrapText="1"/>
    </xf>
    <xf numFmtId="167" fontId="0" fillId="0" borderId="0" xfId="0" applyNumberFormat="1" applyAlignment="1">
      <alignment horizontal="center" vertical="justify" shrinkToFit="1"/>
    </xf>
    <xf numFmtId="166" fontId="0" fillId="0" borderId="0" xfId="0" applyNumberFormat="1" applyBorder="1" applyAlignment="1">
      <alignment horizontal="center"/>
    </xf>
    <xf numFmtId="0" fontId="4" fillId="0" borderId="0" xfId="1" applyBorder="1" applyAlignment="1">
      <alignment horizontal="center"/>
    </xf>
  </cellXfs>
  <cellStyles count="3">
    <cellStyle name="60 % - Accent5" xfId="2" builtinId="48"/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20" fmlaLink="Calcul_Filaire!$F$1" fmlaRange="Calcul_Filaire!$A$1:$A$4" noThreeD="1" sel="1" val="0"/>
</file>

<file path=xl/ctrlProps/ctrlProp4.xml><?xml version="1.0" encoding="utf-8"?>
<formControlPr xmlns="http://schemas.microsoft.com/office/spreadsheetml/2009/9/main" objectType="Drop" dropStyle="combo" dx="20" fmlaLink="Calcul_Filaire!$G$1" fmlaRange="Calcul_Filaire!$B$1:$B$4" noThreeD="1" sel="1" val="0"/>
</file>

<file path=xl/ctrlProps/ctrlProp5.xml><?xml version="1.0" encoding="utf-8"?>
<formControlPr xmlns="http://schemas.microsoft.com/office/spreadsheetml/2009/9/main" objectType="Drop" dropStyle="combo" dx="20" fmlaLink="Calcul_Filaire!$H$1" fmlaRange="Calcul_Filaire!$C$1:$C$4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0" fmlaLink="Calcul!$F$1" fmlaRange="Calcul!$A$1:$A$4" noThreeD="1" sel="1" val="0"/>
</file>

<file path=xl/ctrlProps/ctrlProp8.xml><?xml version="1.0" encoding="utf-8"?>
<formControlPr xmlns="http://schemas.microsoft.com/office/spreadsheetml/2009/9/main" objectType="Drop" dropStyle="combo" dx="20" fmlaLink="Calcul!$G$1" fmlaRange="Calcul!$B$1:$B$3" noThreeD="1" sel="1" val="0"/>
</file>

<file path=xl/ctrlProps/ctrlProp9.xml><?xml version="1.0" encoding="utf-8"?>
<formControlPr xmlns="http://schemas.microsoft.com/office/spreadsheetml/2009/9/main" objectType="Drop" dropStyle="combo" dx="20" fmlaLink="Calcul!$H$1" fmlaRange="Calcul!$C$1:$C$8" noThreeD="1" sel="1" val="0"/>
</file>

<file path=xl/ctrlProps/ctrlProp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19050</xdr:rowOff>
        </xdr:from>
        <xdr:to>
          <xdr:col>12</xdr:col>
          <xdr:colOff>790575</xdr:colOff>
          <xdr:row>16</xdr:row>
          <xdr:rowOff>19050</xdr:rowOff>
        </xdr:to>
        <xdr:sp macro="" textlink="">
          <xdr:nvSpPr>
            <xdr:cNvPr id="10243" name="Text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9</xdr:row>
          <xdr:rowOff>9525</xdr:rowOff>
        </xdr:from>
        <xdr:to>
          <xdr:col>12</xdr:col>
          <xdr:colOff>9525</xdr:colOff>
          <xdr:row>11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Choisir micro-casques filaires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9525</xdr:rowOff>
        </xdr:from>
        <xdr:to>
          <xdr:col>11</xdr:col>
          <xdr:colOff>781050</xdr:colOff>
          <xdr:row>14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Choisir micro-casques sans-fil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1028700</xdr:colOff>
      <xdr:row>3</xdr:row>
      <xdr:rowOff>106680</xdr:rowOff>
    </xdr:from>
    <xdr:to>
      <xdr:col>7</xdr:col>
      <xdr:colOff>1104900</xdr:colOff>
      <xdr:row>11</xdr:row>
      <xdr:rowOff>175260</xdr:rowOff>
    </xdr:to>
    <xdr:sp macro="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8700" y="655320"/>
          <a:ext cx="7223760" cy="1531620"/>
        </a:xfrm>
        <a:prstGeom prst="flowChartAlternateProcess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171450</xdr:rowOff>
        </xdr:from>
        <xdr:to>
          <xdr:col>2</xdr:col>
          <xdr:colOff>104775</xdr:colOff>
          <xdr:row>10</xdr:row>
          <xdr:rowOff>9525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152400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152400</xdr:rowOff>
        </xdr:from>
        <xdr:to>
          <xdr:col>7</xdr:col>
          <xdr:colOff>981075</xdr:colOff>
          <xdr:row>9</xdr:row>
          <xdr:rowOff>171450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104775</xdr:rowOff>
        </xdr:from>
        <xdr:to>
          <xdr:col>2</xdr:col>
          <xdr:colOff>133350</xdr:colOff>
          <xdr:row>7</xdr:row>
          <xdr:rowOff>161925</xdr:rowOff>
        </xdr:to>
        <xdr:sp macro="" textlink="">
          <xdr:nvSpPr>
            <xdr:cNvPr id="8197" name="Text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123825</xdr:rowOff>
        </xdr:from>
        <xdr:to>
          <xdr:col>5</xdr:col>
          <xdr:colOff>123825</xdr:colOff>
          <xdr:row>7</xdr:row>
          <xdr:rowOff>180975</xdr:rowOff>
        </xdr:to>
        <xdr:sp macro="" textlink="">
          <xdr:nvSpPr>
            <xdr:cNvPr id="8199" name="TextBox4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114300</xdr:rowOff>
        </xdr:from>
        <xdr:to>
          <xdr:col>7</xdr:col>
          <xdr:colOff>990600</xdr:colOff>
          <xdr:row>7</xdr:row>
          <xdr:rowOff>171450</xdr:rowOff>
        </xdr:to>
        <xdr:sp macro="" textlink="">
          <xdr:nvSpPr>
            <xdr:cNvPr id="8200" name="TextBox5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1036320</xdr:colOff>
      <xdr:row>3</xdr:row>
      <xdr:rowOff>114300</xdr:rowOff>
    </xdr:from>
    <xdr:to>
      <xdr:col>7</xdr:col>
      <xdr:colOff>1104900</xdr:colOff>
      <xdr:row>5</xdr:row>
      <xdr:rowOff>160020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036320" y="662940"/>
          <a:ext cx="721614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 spc="100" baseline="0">
              <a:solidFill>
                <a:srgbClr val="FF0066"/>
              </a:solidFill>
              <a:latin typeface="Bodoni MT Black" panose="02070A03080606020203" pitchFamily="18" charset="0"/>
            </a:rPr>
            <a:t>Comparateur Filaires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1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Retour Menu Principal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15240</xdr:colOff>
      <xdr:row>12</xdr:row>
      <xdr:rowOff>175260</xdr:rowOff>
    </xdr:from>
    <xdr:to>
      <xdr:col>12</xdr:col>
      <xdr:colOff>388620</xdr:colOff>
      <xdr:row>14</xdr:row>
      <xdr:rowOff>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5240" y="2369820"/>
          <a:ext cx="12717780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/>
            <a:t>IMPORTANT </a:t>
          </a:r>
          <a:r>
            <a:rPr lang="fr-FR" sz="1100" b="1"/>
            <a:t>: Pour les micro-casques en connexion QD, un cordon est nécessaire</a:t>
          </a:r>
          <a:r>
            <a:rPr lang="fr-FR" sz="1100" b="1" baseline="0"/>
            <a:t> afin de pouvoir les connecter soit à un téléphone fixe, à un PC ou un GSM. Merci de joindre le 0800 40 10 10 pour tout renseignement.</a:t>
          </a:r>
          <a:endParaRPr lang="fr-F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1021080</xdr:colOff>
      <xdr:row>3</xdr:row>
      <xdr:rowOff>99060</xdr:rowOff>
    </xdr:from>
    <xdr:to>
      <xdr:col>8</xdr:col>
      <xdr:colOff>0</xdr:colOff>
      <xdr:row>11</xdr:row>
      <xdr:rowOff>167640</xdr:rowOff>
    </xdr:to>
    <xdr:sp macro="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21080" y="647700"/>
          <a:ext cx="7307580" cy="1531620"/>
        </a:xfrm>
        <a:prstGeom prst="flowChartAlternateProcess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133350</xdr:rowOff>
        </xdr:from>
        <xdr:to>
          <xdr:col>2</xdr:col>
          <xdr:colOff>142875</xdr:colOff>
          <xdr:row>10</xdr:row>
          <xdr:rowOff>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8</xdr:row>
          <xdr:rowOff>142875</xdr:rowOff>
        </xdr:from>
        <xdr:to>
          <xdr:col>5</xdr:col>
          <xdr:colOff>76200</xdr:colOff>
          <xdr:row>10</xdr:row>
          <xdr:rowOff>19050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7</xdr:col>
          <xdr:colOff>952500</xdr:colOff>
          <xdr:row>9</xdr:row>
          <xdr:rowOff>161925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95250</xdr:rowOff>
        </xdr:from>
        <xdr:to>
          <xdr:col>2</xdr:col>
          <xdr:colOff>152400</xdr:colOff>
          <xdr:row>7</xdr:row>
          <xdr:rowOff>152400</xdr:rowOff>
        </xdr:to>
        <xdr:sp macro="" textlink="">
          <xdr:nvSpPr>
            <xdr:cNvPr id="3078" name="TextBox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6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104775</xdr:rowOff>
        </xdr:from>
        <xdr:to>
          <xdr:col>5</xdr:col>
          <xdr:colOff>114300</xdr:colOff>
          <xdr:row>7</xdr:row>
          <xdr:rowOff>161925</xdr:rowOff>
        </xdr:to>
        <xdr:sp macro="" textlink="">
          <xdr:nvSpPr>
            <xdr:cNvPr id="3080" name="TextBox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6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114300</xdr:rowOff>
        </xdr:from>
        <xdr:to>
          <xdr:col>7</xdr:col>
          <xdr:colOff>981075</xdr:colOff>
          <xdr:row>7</xdr:row>
          <xdr:rowOff>171450</xdr:rowOff>
        </xdr:to>
        <xdr:sp macro="" textlink="">
          <xdr:nvSpPr>
            <xdr:cNvPr id="3081" name="TextBox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6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1028700</xdr:colOff>
      <xdr:row>3</xdr:row>
      <xdr:rowOff>129540</xdr:rowOff>
    </xdr:from>
    <xdr:to>
      <xdr:col>7</xdr:col>
      <xdr:colOff>1143000</xdr:colOff>
      <xdr:row>5</xdr:row>
      <xdr:rowOff>175260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28700" y="678180"/>
          <a:ext cx="729234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 spc="100" baseline="0">
              <a:solidFill>
                <a:srgbClr val="FF0066"/>
              </a:solidFill>
              <a:latin typeface="Bodoni MT Black" panose="02070A03080606020203" pitchFamily="18" charset="0"/>
            </a:rPr>
            <a:t>Comparateur Sans-Fil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1</xdr:row>
          <xdr:rowOff>171450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Retour Menu Principal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onnexing.fr/plantronics-entera-binaural-casque-filaire.html" TargetMode="External"/><Relationship Id="rId6" Type="http://schemas.openxmlformats.org/officeDocument/2006/relationships/image" Target="../media/image2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file:///\\srv-dc01\Donnees\Marketing\MARQUES%20CONSTRUCTEURS\JABRA\FICHES%20PRODUIT%20JABRA\Fiche%20Produit%20JABRA%20Pro%20900" TargetMode="External"/><Relationship Id="rId13" Type="http://schemas.openxmlformats.org/officeDocument/2006/relationships/hyperlink" Target="http://www.connexing.fr/ftp/GN%20Jabra/sans%20fil/Fiche%20Produit%20Jabra_Stealth.pdf" TargetMode="External"/><Relationship Id="rId18" Type="http://schemas.openxmlformats.org/officeDocument/2006/relationships/hyperlink" Target="http://www.connexing.fr/ftp/Plantronics/Fiche%20Produit%20Plantronics%20Voyager%20Legend%20UC.pdf" TargetMode="External"/><Relationship Id="rId26" Type="http://schemas.openxmlformats.org/officeDocument/2006/relationships/printerSettings" Target="../printerSettings/printerSettings4.bin"/><Relationship Id="rId3" Type="http://schemas.openxmlformats.org/officeDocument/2006/relationships/hyperlink" Target="http://www.connexing.fr/ftp/GN%20Jabra/sans%20fil/Fiche%20Gamme%20Jabra%20Pro%20900.pdf" TargetMode="External"/><Relationship Id="rId21" Type="http://schemas.openxmlformats.org/officeDocument/2006/relationships/hyperlink" Target="http://www.connexing.fr/ftp/GN%20Jabra/sans%20fil/Fiche%20Produit%20Jabra%20PRO%209465_BD.pdf" TargetMode="External"/><Relationship Id="rId7" Type="http://schemas.openxmlformats.org/officeDocument/2006/relationships/hyperlink" Target="http://www.connexing.fr/ftp/Plantronics/Fiche%20Produit%20Plantronics%20CS500.pdf" TargetMode="External"/><Relationship Id="rId12" Type="http://schemas.openxmlformats.org/officeDocument/2006/relationships/hyperlink" Target="http://www.connexing.fr/ftp/GN%20Jabra/sans%20fil/Fiche%20Produit%20Jabra_Stealth.pdf" TargetMode="External"/><Relationship Id="rId17" Type="http://schemas.openxmlformats.org/officeDocument/2006/relationships/hyperlink" Target="http://www.connexing.fr/ftp/Plantronics/FR_Voyager_Edge_UC.pdf" TargetMode="External"/><Relationship Id="rId25" Type="http://schemas.openxmlformats.org/officeDocument/2006/relationships/hyperlink" Target="http://www.connexing.fr/ftp/Plantronics/Fiche%20Produit%20Plantronics%20Savi%20700.pdf" TargetMode="External"/><Relationship Id="rId2" Type="http://schemas.openxmlformats.org/officeDocument/2006/relationships/hyperlink" Target="http://www.connexing.fr/ftp/GN%20Jabra/sans%20fil/Fiche%20Gamme%20Jabra%20Pro%20900.pdf" TargetMode="External"/><Relationship Id="rId16" Type="http://schemas.openxmlformats.org/officeDocument/2006/relationships/hyperlink" Target="http://www.connexing.fr/ftp/Plantronics/FR_Voyager_Edge_UC.pdf" TargetMode="External"/><Relationship Id="rId20" Type="http://schemas.openxmlformats.org/officeDocument/2006/relationships/hyperlink" Target="http://www.connexing.fr/ftp/Plantronics/Fiche%20Produit%20Plantronics%20Voyager_5200_UC.pdf" TargetMode="External"/><Relationship Id="rId1" Type="http://schemas.openxmlformats.org/officeDocument/2006/relationships/hyperlink" Target="http://www.connexing.fr/ftp/GN%20Jabra/sans%20fil/Fiche%20Gamme%20Jabra%20Pro%20900.pdf" TargetMode="External"/><Relationship Id="rId6" Type="http://schemas.openxmlformats.org/officeDocument/2006/relationships/hyperlink" Target="http://www.connexing.fr/ftp/Plantronics/Fiche%20Produit%20Plantronics%20CS500.pdf" TargetMode="External"/><Relationship Id="rId11" Type="http://schemas.openxmlformats.org/officeDocument/2006/relationships/hyperlink" Target="http://www.connexing.fr/plantronics-c565-casque-sans-fil.html" TargetMode="External"/><Relationship Id="rId24" Type="http://schemas.openxmlformats.org/officeDocument/2006/relationships/hyperlink" Target="http://www.connexing.fr/ftp/Plantronics/Fiche%20Produit%20Plantronics%20Savi%20700.pdf" TargetMode="External"/><Relationship Id="rId5" Type="http://schemas.openxmlformats.org/officeDocument/2006/relationships/hyperlink" Target="http://www.connexing.fr/ftp/Plantronics/Fiche%20Produit%20Plantronics%20CS500.pdf" TargetMode="External"/><Relationship Id="rId15" Type="http://schemas.openxmlformats.org/officeDocument/2006/relationships/hyperlink" Target="http://www.connexing.fr/ftp/GN%20Jabra/sans%20fil/fiche%20produit%20jabra%20motion%20uc.pdf" TargetMode="External"/><Relationship Id="rId23" Type="http://schemas.openxmlformats.org/officeDocument/2006/relationships/hyperlink" Target="http://www.connexing.fr/ftp/GN%20Jabra/Fiche%20Produit%20Jabra_Motion.pdf" TargetMode="External"/><Relationship Id="rId10" Type="http://schemas.openxmlformats.org/officeDocument/2006/relationships/hyperlink" Target="http://www.connexing.fr/ftp/GN%20Jabra/sans%20fil/Fiche%20Gamme%20Jabra%20Pro%20900.pdf" TargetMode="External"/><Relationship Id="rId19" Type="http://schemas.openxmlformats.org/officeDocument/2006/relationships/hyperlink" Target="http://www.connexing.fr/ftp/Plantronics/Fiche%20Produit%20Plantronics%20Voyager%20Legend%20UC.pdf" TargetMode="External"/><Relationship Id="rId4" Type="http://schemas.openxmlformats.org/officeDocument/2006/relationships/hyperlink" Target="http://www.connexing.fr/ftp/Plantronics/Fiche%20Produit%20Plantronics%20CS500.pdf" TargetMode="External"/><Relationship Id="rId9" Type="http://schemas.openxmlformats.org/officeDocument/2006/relationships/hyperlink" Target="http://www.connexing.fr/ftp/GN%20Jabra/sans%20fil/Fiche%20Gamme%20Jabra%20Pro%20900.pdf" TargetMode="External"/><Relationship Id="rId14" Type="http://schemas.openxmlformats.org/officeDocument/2006/relationships/hyperlink" Target="http://www.connexing.fr/ftp/GN%20Jabra/sans%20fil/fiche%20produit%20jabra%20motion%20uc.pdf" TargetMode="External"/><Relationship Id="rId22" Type="http://schemas.openxmlformats.org/officeDocument/2006/relationships/hyperlink" Target="http://www.connexing.fr/ftp/GN%20Jabra/sans%20fil/Fiche%20Produit%20Casque%20Sans%20Fil%20Jabra%20Pro%209470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U104"/>
  <sheetViews>
    <sheetView topLeftCell="B1" workbookViewId="0">
      <pane ySplit="1" topLeftCell="A2" activePane="bottomLeft" state="frozen"/>
      <selection pane="bottomLeft" activeCell="M3" sqref="M3"/>
    </sheetView>
  </sheetViews>
  <sheetFormatPr baseColWidth="10" defaultRowHeight="15" x14ac:dyDescent="0.25"/>
  <cols>
    <col min="1" max="1" width="13.140625" style="4" customWidth="1"/>
    <col min="2" max="2" width="19.42578125" style="4" customWidth="1"/>
    <col min="3" max="3" width="5.85546875" style="5" bestFit="1" customWidth="1"/>
    <col min="4" max="4" width="14.5703125" style="4" bestFit="1" customWidth="1"/>
    <col min="5" max="5" width="11.5703125" style="5"/>
    <col min="6" max="6" width="15.28515625" style="1" bestFit="1" customWidth="1"/>
    <col min="7" max="7" width="11.5703125" style="1"/>
    <col min="8" max="8" width="13.28515625" style="5" bestFit="1" customWidth="1"/>
    <col min="9" max="9" width="15.7109375" bestFit="1" customWidth="1"/>
    <col min="10" max="10" width="8" bestFit="1" customWidth="1"/>
    <col min="11" max="11" width="14.140625" bestFit="1" customWidth="1"/>
    <col min="12" max="12" width="15.7109375" customWidth="1"/>
    <col min="13" max="13" width="15.28515625" bestFit="1" customWidth="1"/>
    <col min="20" max="21" width="11.5703125" style="1"/>
  </cols>
  <sheetData>
    <row r="1" spans="1:21" s="7" customFormat="1" x14ac:dyDescent="0.25">
      <c r="A1" s="33" t="s">
        <v>256</v>
      </c>
      <c r="B1" s="33" t="s">
        <v>0</v>
      </c>
      <c r="C1" s="33" t="s">
        <v>49</v>
      </c>
      <c r="D1" s="34" t="s">
        <v>257</v>
      </c>
      <c r="E1" s="33" t="s">
        <v>258</v>
      </c>
      <c r="F1" s="35" t="s">
        <v>11</v>
      </c>
      <c r="G1" s="17" t="s">
        <v>8</v>
      </c>
      <c r="H1" s="36" t="s">
        <v>259</v>
      </c>
      <c r="I1" s="37" t="s">
        <v>17</v>
      </c>
      <c r="J1" s="38" t="s">
        <v>10</v>
      </c>
      <c r="K1" s="38" t="s">
        <v>316</v>
      </c>
      <c r="L1" s="36" t="s">
        <v>14</v>
      </c>
      <c r="M1" s="39" t="s">
        <v>15</v>
      </c>
      <c r="O1" s="7" t="s">
        <v>209</v>
      </c>
      <c r="P1" s="7" t="s">
        <v>210</v>
      </c>
      <c r="Q1" s="7" t="s">
        <v>211</v>
      </c>
      <c r="R1" s="7" t="s">
        <v>213</v>
      </c>
      <c r="T1" s="2" t="s">
        <v>214</v>
      </c>
      <c r="U1" s="2" t="s">
        <v>215</v>
      </c>
    </row>
    <row r="2" spans="1:21" ht="45" x14ac:dyDescent="0.25">
      <c r="A2" s="4" t="s">
        <v>19</v>
      </c>
      <c r="B2" s="27" t="s">
        <v>260</v>
      </c>
      <c r="C2" s="5" t="s">
        <v>49</v>
      </c>
      <c r="D2" s="3" t="s">
        <v>266</v>
      </c>
      <c r="E2" s="28">
        <v>178</v>
      </c>
      <c r="F2" s="23" t="s">
        <v>30</v>
      </c>
      <c r="G2" s="23" t="s">
        <v>278</v>
      </c>
      <c r="H2" s="25" t="s">
        <v>276</v>
      </c>
      <c r="I2" s="25" t="s">
        <v>468</v>
      </c>
      <c r="J2" s="25" t="s">
        <v>87</v>
      </c>
      <c r="K2" s="25"/>
      <c r="L2" s="25" t="s">
        <v>235</v>
      </c>
      <c r="M2" s="24" t="s">
        <v>477</v>
      </c>
      <c r="O2" t="b">
        <f>IF(Calcul_Filaire!$F$2="Constructeur",TRUE,Calcul_Filaire!$F$2=Source_Filaire!A2)</f>
        <v>1</v>
      </c>
      <c r="P2" t="b">
        <f>IF(Calcul_Filaire!$G$2="Mono/Bino",TRUE,Calcul_Filaire!$G$2=Source_Filaire!F2)</f>
        <v>1</v>
      </c>
      <c r="Q2" t="b">
        <f>IF(Calcul_Filaire!$H$2="Connectivité",TRUE,Calcul_Filaire!$H$2=Source_Filaire!I2)</f>
        <v>1</v>
      </c>
      <c r="R2" t="b">
        <f>AND(O2:Q2)</f>
        <v>1</v>
      </c>
      <c r="T2">
        <f>IF(R2,ROWS($R$2:R2),"")</f>
        <v>1</v>
      </c>
      <c r="U2" s="1">
        <f>IFERROR(SMALL($T$2:$T$104,ROWS(T2:$T$2)),"")</f>
        <v>1</v>
      </c>
    </row>
    <row r="3" spans="1:21" x14ac:dyDescent="0.25">
      <c r="A3" s="4" t="s">
        <v>19</v>
      </c>
      <c r="B3" s="27" t="s">
        <v>261</v>
      </c>
      <c r="C3" s="5" t="s">
        <v>49</v>
      </c>
      <c r="D3" s="3" t="s">
        <v>267</v>
      </c>
      <c r="E3" s="28">
        <v>187</v>
      </c>
      <c r="F3" s="23" t="s">
        <v>31</v>
      </c>
      <c r="G3" s="23" t="s">
        <v>272</v>
      </c>
      <c r="H3" s="25" t="s">
        <v>276</v>
      </c>
      <c r="I3" s="25" t="s">
        <v>468</v>
      </c>
      <c r="J3" s="25" t="s">
        <v>87</v>
      </c>
      <c r="K3" s="25"/>
      <c r="L3" s="25" t="s">
        <v>235</v>
      </c>
      <c r="O3" t="b">
        <f>IF(Calcul_Filaire!$F$2="Constructeur",TRUE,Calcul_Filaire!$F$2=Source_Filaire!A3)</f>
        <v>1</v>
      </c>
      <c r="P3" t="b">
        <f>IF(Calcul_Filaire!$G$2="Mono/Bino",TRUE,Calcul_Filaire!$G$2=Source_Filaire!F3)</f>
        <v>1</v>
      </c>
      <c r="Q3" t="b">
        <f>IF(Calcul_Filaire!$H$2="Connectivité",TRUE,Calcul_Filaire!$H$2=Source_Filaire!I3)</f>
        <v>1</v>
      </c>
      <c r="R3" t="b">
        <f t="shared" ref="R3:R66" si="0">AND(O3:Q3)</f>
        <v>1</v>
      </c>
      <c r="T3">
        <f>IF(R3,ROWS($R$2:R3),"")</f>
        <v>2</v>
      </c>
      <c r="U3" s="1">
        <f>IFERROR(SMALL($T$2:$T$104,ROWS(T$2:$T3)),"")</f>
        <v>2</v>
      </c>
    </row>
    <row r="4" spans="1:21" ht="45" x14ac:dyDescent="0.25">
      <c r="A4" s="4" t="s">
        <v>19</v>
      </c>
      <c r="B4" s="27" t="s">
        <v>262</v>
      </c>
      <c r="C4" s="5" t="s">
        <v>49</v>
      </c>
      <c r="D4" s="3" t="s">
        <v>268</v>
      </c>
      <c r="E4" s="28">
        <v>119</v>
      </c>
      <c r="F4" s="23" t="s">
        <v>30</v>
      </c>
      <c r="G4" s="23" t="s">
        <v>273</v>
      </c>
      <c r="H4" s="25" t="s">
        <v>276</v>
      </c>
      <c r="I4" s="25" t="s">
        <v>468</v>
      </c>
      <c r="J4" s="25" t="s">
        <v>277</v>
      </c>
      <c r="K4" s="25"/>
      <c r="L4" s="25" t="s">
        <v>235</v>
      </c>
      <c r="M4" s="24" t="s">
        <v>477</v>
      </c>
      <c r="O4" t="b">
        <f>IF(Calcul_Filaire!$F$2="Constructeur",TRUE,Calcul_Filaire!$F$2=Source_Filaire!A4)</f>
        <v>1</v>
      </c>
      <c r="P4" t="b">
        <f>IF(Calcul_Filaire!$G$2="Mono/Bino",TRUE,Calcul_Filaire!$G$2=Source_Filaire!F4)</f>
        <v>1</v>
      </c>
      <c r="Q4" t="b">
        <f>IF(Calcul_Filaire!$H$2="Connectivité",TRUE,Calcul_Filaire!$H$2=Source_Filaire!I4)</f>
        <v>1</v>
      </c>
      <c r="R4" t="b">
        <f t="shared" si="0"/>
        <v>1</v>
      </c>
      <c r="T4">
        <f>IF(R4,ROWS($R$2:R4),"")</f>
        <v>3</v>
      </c>
      <c r="U4" s="1">
        <f>IFERROR(SMALL($T$2:$T$104,ROWS(T$2:$T4)),"")</f>
        <v>3</v>
      </c>
    </row>
    <row r="5" spans="1:21" x14ac:dyDescent="0.25">
      <c r="A5" s="4" t="s">
        <v>19</v>
      </c>
      <c r="B5" s="27" t="s">
        <v>263</v>
      </c>
      <c r="C5" s="5" t="s">
        <v>49</v>
      </c>
      <c r="D5" s="3" t="s">
        <v>269</v>
      </c>
      <c r="E5" s="28">
        <v>139</v>
      </c>
      <c r="F5" s="23" t="s">
        <v>31</v>
      </c>
      <c r="G5" s="23" t="s">
        <v>274</v>
      </c>
      <c r="H5" s="25" t="s">
        <v>276</v>
      </c>
      <c r="I5" s="25" t="s">
        <v>468</v>
      </c>
      <c r="J5" s="25" t="s">
        <v>277</v>
      </c>
      <c r="K5" s="25"/>
      <c r="L5" s="25" t="s">
        <v>235</v>
      </c>
      <c r="M5" s="19"/>
      <c r="O5" t="b">
        <f>IF(Calcul_Filaire!$F$2="Constructeur",TRUE,Calcul_Filaire!$F$2=Source_Filaire!A5)</f>
        <v>1</v>
      </c>
      <c r="P5" t="b">
        <f>IF(Calcul_Filaire!$G$2="Mono/Bino",TRUE,Calcul_Filaire!$G$2=Source_Filaire!F5)</f>
        <v>1</v>
      </c>
      <c r="Q5" t="b">
        <f>IF(Calcul_Filaire!$H$2="Connectivité",TRUE,Calcul_Filaire!$H$2=Source_Filaire!I5)</f>
        <v>1</v>
      </c>
      <c r="R5" t="b">
        <f t="shared" si="0"/>
        <v>1</v>
      </c>
      <c r="T5">
        <f>IF(R5,ROWS($R$2:R5),"")</f>
        <v>4</v>
      </c>
      <c r="U5" s="1">
        <f>IFERROR(SMALL($T$2:$T$104,ROWS(T$2:$T5)),"")</f>
        <v>4</v>
      </c>
    </row>
    <row r="6" spans="1:21" ht="45" x14ac:dyDescent="0.25">
      <c r="A6" s="4" t="s">
        <v>19</v>
      </c>
      <c r="B6" s="27" t="s">
        <v>264</v>
      </c>
      <c r="C6" s="5" t="s">
        <v>49</v>
      </c>
      <c r="D6" s="3" t="s">
        <v>270</v>
      </c>
      <c r="E6" s="28">
        <v>189</v>
      </c>
      <c r="F6" s="23" t="s">
        <v>30</v>
      </c>
      <c r="G6" s="23" t="s">
        <v>275</v>
      </c>
      <c r="H6" s="25" t="s">
        <v>276</v>
      </c>
      <c r="I6" s="25" t="s">
        <v>468</v>
      </c>
      <c r="J6" s="25" t="s">
        <v>277</v>
      </c>
      <c r="K6" s="25"/>
      <c r="L6" s="25" t="s">
        <v>235</v>
      </c>
      <c r="M6" s="24" t="s">
        <v>477</v>
      </c>
      <c r="O6" t="b">
        <f>IF(Calcul_Filaire!$F$2="Constructeur",TRUE,Calcul_Filaire!$F$2=Source_Filaire!A6)</f>
        <v>1</v>
      </c>
      <c r="P6" t="b">
        <f>IF(Calcul_Filaire!$G$2="Mono/Bino",TRUE,Calcul_Filaire!$G$2=Source_Filaire!F6)</f>
        <v>1</v>
      </c>
      <c r="Q6" t="b">
        <f>IF(Calcul_Filaire!$H$2="Connectivité",TRUE,Calcul_Filaire!$H$2=Source_Filaire!I6)</f>
        <v>1</v>
      </c>
      <c r="R6" t="b">
        <f t="shared" si="0"/>
        <v>1</v>
      </c>
      <c r="T6">
        <f>IF(R6,ROWS($R$2:R6),"")</f>
        <v>5</v>
      </c>
      <c r="U6" s="1">
        <f>IFERROR(SMALL($T$2:$T$104,ROWS(T$2:$T6)),"")</f>
        <v>5</v>
      </c>
    </row>
    <row r="7" spans="1:21" x14ac:dyDescent="0.25">
      <c r="A7" s="4" t="s">
        <v>19</v>
      </c>
      <c r="B7" s="27" t="s">
        <v>265</v>
      </c>
      <c r="C7" s="5" t="s">
        <v>49</v>
      </c>
      <c r="D7" s="3" t="s">
        <v>271</v>
      </c>
      <c r="E7" s="28">
        <v>199</v>
      </c>
      <c r="F7" s="23" t="s">
        <v>31</v>
      </c>
      <c r="G7" s="23"/>
      <c r="H7" s="25" t="s">
        <v>276</v>
      </c>
      <c r="I7" s="25" t="s">
        <v>468</v>
      </c>
      <c r="J7" s="25" t="s">
        <v>277</v>
      </c>
      <c r="K7" s="25"/>
      <c r="L7" s="25" t="s">
        <v>235</v>
      </c>
      <c r="O7" t="b">
        <f>IF(Calcul_Filaire!$F$2="Constructeur",TRUE,Calcul_Filaire!$F$2=Source_Filaire!A7)</f>
        <v>1</v>
      </c>
      <c r="P7" t="b">
        <f>IF(Calcul_Filaire!$G$2="Mono/Bino",TRUE,Calcul_Filaire!$G$2=Source_Filaire!F7)</f>
        <v>1</v>
      </c>
      <c r="Q7" t="b">
        <f>IF(Calcul_Filaire!$H$2="Connectivité",TRUE,Calcul_Filaire!$H$2=Source_Filaire!I7)</f>
        <v>1</v>
      </c>
      <c r="R7" t="b">
        <f t="shared" si="0"/>
        <v>1</v>
      </c>
      <c r="T7">
        <f>IF(R7,ROWS($R$2:R7),"")</f>
        <v>6</v>
      </c>
      <c r="U7" s="1">
        <f>IFERROR(SMALL($T$2:$T$104,ROWS(T$2:$T7)),"")</f>
        <v>6</v>
      </c>
    </row>
    <row r="8" spans="1:21" x14ac:dyDescent="0.25">
      <c r="A8" s="4" t="s">
        <v>279</v>
      </c>
      <c r="B8" s="27" t="s">
        <v>280</v>
      </c>
      <c r="C8" s="5" t="s">
        <v>49</v>
      </c>
      <c r="D8" s="3" t="s">
        <v>290</v>
      </c>
      <c r="E8" s="28">
        <v>79</v>
      </c>
      <c r="F8" s="23" t="s">
        <v>30</v>
      </c>
      <c r="G8" s="23" t="s">
        <v>300</v>
      </c>
      <c r="H8" s="25" t="s">
        <v>276</v>
      </c>
      <c r="I8" s="25" t="s">
        <v>468</v>
      </c>
      <c r="J8" s="25" t="s">
        <v>87</v>
      </c>
      <c r="K8" s="25"/>
      <c r="L8" s="25" t="s">
        <v>235</v>
      </c>
      <c r="O8" t="b">
        <f>IF(Calcul_Filaire!$F$2="Constructeur",TRUE,Calcul_Filaire!$F$2=Source_Filaire!A8)</f>
        <v>1</v>
      </c>
      <c r="P8" t="b">
        <f>IF(Calcul_Filaire!$G$2="Mono/Bino",TRUE,Calcul_Filaire!$G$2=Source_Filaire!F8)</f>
        <v>1</v>
      </c>
      <c r="Q8" t="b">
        <f>IF(Calcul_Filaire!$H$2="Connectivité",TRUE,Calcul_Filaire!$H$2=Source_Filaire!I8)</f>
        <v>1</v>
      </c>
      <c r="R8" t="b">
        <f t="shared" si="0"/>
        <v>1</v>
      </c>
      <c r="T8">
        <f>IF(R8,ROWS($R$2:R8),"")</f>
        <v>7</v>
      </c>
      <c r="U8" s="1">
        <f>IFERROR(SMALL($T$2:$T$104,ROWS(T$2:$T8)),"")</f>
        <v>7</v>
      </c>
    </row>
    <row r="9" spans="1:21" x14ac:dyDescent="0.25">
      <c r="A9" s="4" t="s">
        <v>279</v>
      </c>
      <c r="B9" s="27" t="s">
        <v>281</v>
      </c>
      <c r="C9" s="5" t="s">
        <v>49</v>
      </c>
      <c r="D9" s="3" t="s">
        <v>291</v>
      </c>
      <c r="E9" s="28">
        <v>99</v>
      </c>
      <c r="F9" s="23" t="s">
        <v>31</v>
      </c>
      <c r="G9" s="23" t="s">
        <v>300</v>
      </c>
      <c r="H9" s="25" t="s">
        <v>276</v>
      </c>
      <c r="I9" s="25" t="s">
        <v>468</v>
      </c>
      <c r="J9" s="25" t="s">
        <v>87</v>
      </c>
      <c r="K9" s="25"/>
      <c r="L9" s="25" t="s">
        <v>235</v>
      </c>
      <c r="O9" t="b">
        <f>IF(Calcul_Filaire!$F$2="Constructeur",TRUE,Calcul_Filaire!$F$2=Source_Filaire!A9)</f>
        <v>1</v>
      </c>
      <c r="P9" t="b">
        <f>IF(Calcul_Filaire!$G$2="Mono/Bino",TRUE,Calcul_Filaire!$G$2=Source_Filaire!F9)</f>
        <v>1</v>
      </c>
      <c r="Q9" t="b">
        <f>IF(Calcul_Filaire!$H$2="Connectivité",TRUE,Calcul_Filaire!$H$2=Source_Filaire!I9)</f>
        <v>1</v>
      </c>
      <c r="R9" t="b">
        <f t="shared" si="0"/>
        <v>1</v>
      </c>
      <c r="T9">
        <f>IF(R9,ROWS($R$2:R9),"")</f>
        <v>8</v>
      </c>
      <c r="U9" s="1">
        <f>IFERROR(SMALL($T$2:$T$104,ROWS(T$2:$T9)),"")</f>
        <v>8</v>
      </c>
    </row>
    <row r="10" spans="1:21" ht="30" x14ac:dyDescent="0.25">
      <c r="A10" s="4" t="s">
        <v>279</v>
      </c>
      <c r="B10" s="27" t="s">
        <v>282</v>
      </c>
      <c r="C10" s="5" t="s">
        <v>49</v>
      </c>
      <c r="D10" s="3" t="s">
        <v>292</v>
      </c>
      <c r="E10" s="28">
        <v>129</v>
      </c>
      <c r="F10" s="23" t="s">
        <v>30</v>
      </c>
      <c r="G10" s="23" t="s">
        <v>301</v>
      </c>
      <c r="H10" s="25" t="s">
        <v>276</v>
      </c>
      <c r="I10" s="25" t="s">
        <v>468</v>
      </c>
      <c r="J10" s="25" t="s">
        <v>87</v>
      </c>
      <c r="K10" s="25"/>
      <c r="L10" s="25" t="s">
        <v>235</v>
      </c>
      <c r="O10" t="b">
        <f>IF(Calcul_Filaire!$F$2="Constructeur",TRUE,Calcul_Filaire!$F$2=Source_Filaire!A10)</f>
        <v>1</v>
      </c>
      <c r="P10" t="b">
        <f>IF(Calcul_Filaire!$G$2="Mono/Bino",TRUE,Calcul_Filaire!$G$2=Source_Filaire!F10)</f>
        <v>1</v>
      </c>
      <c r="Q10" t="b">
        <f>IF(Calcul_Filaire!$H$2="Connectivité",TRUE,Calcul_Filaire!$H$2=Source_Filaire!I10)</f>
        <v>1</v>
      </c>
      <c r="R10" t="b">
        <f t="shared" si="0"/>
        <v>1</v>
      </c>
      <c r="T10">
        <f>IF(R10,ROWS($R$2:R10),"")</f>
        <v>9</v>
      </c>
      <c r="U10" s="1">
        <f>IFERROR(SMALL($T$2:$T$104,ROWS(T$2:$T10)),"")</f>
        <v>9</v>
      </c>
    </row>
    <row r="11" spans="1:21" ht="30" x14ac:dyDescent="0.25">
      <c r="A11" s="4" t="s">
        <v>279</v>
      </c>
      <c r="B11" s="27" t="s">
        <v>283</v>
      </c>
      <c r="C11" s="5" t="s">
        <v>49</v>
      </c>
      <c r="D11" s="3" t="s">
        <v>293</v>
      </c>
      <c r="E11" s="28">
        <v>156</v>
      </c>
      <c r="F11" s="23" t="s">
        <v>31</v>
      </c>
      <c r="G11" s="23" t="s">
        <v>301</v>
      </c>
      <c r="H11" s="25" t="s">
        <v>276</v>
      </c>
      <c r="I11" s="25" t="s">
        <v>468</v>
      </c>
      <c r="J11" s="25" t="s">
        <v>87</v>
      </c>
      <c r="K11" s="25"/>
      <c r="L11" s="25" t="s">
        <v>235</v>
      </c>
      <c r="O11" t="b">
        <f>IF(Calcul_Filaire!$F$2="Constructeur",TRUE,Calcul_Filaire!$F$2=Source_Filaire!A11)</f>
        <v>1</v>
      </c>
      <c r="P11" t="b">
        <f>IF(Calcul_Filaire!$G$2="Mono/Bino",TRUE,Calcul_Filaire!$G$2=Source_Filaire!F11)</f>
        <v>1</v>
      </c>
      <c r="Q11" t="b">
        <f>IF(Calcul_Filaire!$H$2="Connectivité",TRUE,Calcul_Filaire!$H$2=Source_Filaire!I11)</f>
        <v>1</v>
      </c>
      <c r="R11" t="b">
        <f t="shared" si="0"/>
        <v>1</v>
      </c>
      <c r="T11">
        <f>IF(R11,ROWS($R$2:R11),"")</f>
        <v>10</v>
      </c>
      <c r="U11" s="1">
        <f>IFERROR(SMALL($T$2:$T$104,ROWS(T$2:$T11)),"")</f>
        <v>10</v>
      </c>
    </row>
    <row r="12" spans="1:21" ht="60" x14ac:dyDescent="0.25">
      <c r="A12" s="4" t="s">
        <v>279</v>
      </c>
      <c r="B12" s="27" t="s">
        <v>284</v>
      </c>
      <c r="C12" s="5" t="s">
        <v>49</v>
      </c>
      <c r="D12" s="3" t="s">
        <v>294</v>
      </c>
      <c r="E12" s="28">
        <v>139</v>
      </c>
      <c r="F12" s="23" t="s">
        <v>30</v>
      </c>
      <c r="G12" s="23" t="s">
        <v>302</v>
      </c>
      <c r="H12" s="25" t="s">
        <v>276</v>
      </c>
      <c r="I12" s="25" t="s">
        <v>468</v>
      </c>
      <c r="J12" s="25" t="s">
        <v>87</v>
      </c>
      <c r="K12" s="25"/>
      <c r="L12" s="26" t="s">
        <v>476</v>
      </c>
      <c r="O12" t="b">
        <f>IF(Calcul_Filaire!$F$2="Constructeur",TRUE,Calcul_Filaire!$F$2=Source_Filaire!A12)</f>
        <v>1</v>
      </c>
      <c r="P12" t="b">
        <f>IF(Calcul_Filaire!$G$2="Mono/Bino",TRUE,Calcul_Filaire!$G$2=Source_Filaire!F12)</f>
        <v>1</v>
      </c>
      <c r="Q12" t="b">
        <f>IF(Calcul_Filaire!$H$2="Connectivité",TRUE,Calcul_Filaire!$H$2=Source_Filaire!I12)</f>
        <v>1</v>
      </c>
      <c r="R12" t="b">
        <f t="shared" si="0"/>
        <v>1</v>
      </c>
      <c r="T12">
        <f>IF(R12,ROWS($R$2:R12),"")</f>
        <v>11</v>
      </c>
      <c r="U12" s="1">
        <f>IFERROR(SMALL($T$2:$T$104,ROWS(T$2:$T12)),"")</f>
        <v>11</v>
      </c>
    </row>
    <row r="13" spans="1:21" x14ac:dyDescent="0.25">
      <c r="A13" s="4" t="s">
        <v>279</v>
      </c>
      <c r="B13" s="27" t="s">
        <v>285</v>
      </c>
      <c r="C13" s="5" t="s">
        <v>49</v>
      </c>
      <c r="D13" s="3" t="s">
        <v>295</v>
      </c>
      <c r="E13" s="28">
        <v>125</v>
      </c>
      <c r="F13" s="23" t="s">
        <v>30</v>
      </c>
      <c r="G13" s="23" t="s">
        <v>303</v>
      </c>
      <c r="H13" s="25" t="s">
        <v>276</v>
      </c>
      <c r="I13" s="25" t="s">
        <v>468</v>
      </c>
      <c r="J13" s="25" t="s">
        <v>87</v>
      </c>
      <c r="K13" s="25"/>
      <c r="L13" s="25" t="s">
        <v>235</v>
      </c>
      <c r="O13" t="b">
        <f>IF(Calcul_Filaire!$F$2="Constructeur",TRUE,Calcul_Filaire!$F$2=Source_Filaire!A13)</f>
        <v>1</v>
      </c>
      <c r="P13" t="b">
        <f>IF(Calcul_Filaire!$G$2="Mono/Bino",TRUE,Calcul_Filaire!$G$2=Source_Filaire!F13)</f>
        <v>1</v>
      </c>
      <c r="Q13" t="b">
        <f>IF(Calcul_Filaire!$H$2="Connectivité",TRUE,Calcul_Filaire!$H$2=Source_Filaire!I13)</f>
        <v>1</v>
      </c>
      <c r="R13" t="b">
        <f t="shared" si="0"/>
        <v>1</v>
      </c>
      <c r="T13">
        <f>IF(R13,ROWS($R$2:R13),"")</f>
        <v>12</v>
      </c>
      <c r="U13" s="1">
        <f>IFERROR(SMALL($T$2:$T$104,ROWS(T$2:$T13)),"")</f>
        <v>12</v>
      </c>
    </row>
    <row r="14" spans="1:21" x14ac:dyDescent="0.25">
      <c r="A14" s="4" t="s">
        <v>279</v>
      </c>
      <c r="B14" s="27" t="s">
        <v>286</v>
      </c>
      <c r="C14" s="5" t="s">
        <v>49</v>
      </c>
      <c r="D14" s="3" t="s">
        <v>296</v>
      </c>
      <c r="E14" s="28">
        <v>95</v>
      </c>
      <c r="F14" s="23" t="s">
        <v>30</v>
      </c>
      <c r="G14" s="23" t="s">
        <v>304</v>
      </c>
      <c r="H14" s="25" t="s">
        <v>276</v>
      </c>
      <c r="I14" s="25" t="s">
        <v>468</v>
      </c>
      <c r="J14" s="25" t="s">
        <v>87</v>
      </c>
      <c r="K14" s="25"/>
      <c r="L14" s="25" t="s">
        <v>235</v>
      </c>
      <c r="O14" t="b">
        <f>IF(Calcul_Filaire!$F$2="Constructeur",TRUE,Calcul_Filaire!$F$2=Source_Filaire!A14)</f>
        <v>1</v>
      </c>
      <c r="P14" t="b">
        <f>IF(Calcul_Filaire!$G$2="Mono/Bino",TRUE,Calcul_Filaire!$G$2=Source_Filaire!F14)</f>
        <v>1</v>
      </c>
      <c r="Q14" t="b">
        <f>IF(Calcul_Filaire!$H$2="Connectivité",TRUE,Calcul_Filaire!$H$2=Source_Filaire!I14)</f>
        <v>1</v>
      </c>
      <c r="R14" t="b">
        <f t="shared" si="0"/>
        <v>1</v>
      </c>
      <c r="T14">
        <f>IF(R14,ROWS($R$2:R14),"")</f>
        <v>13</v>
      </c>
      <c r="U14" s="1">
        <f>IFERROR(SMALL($T$2:$T$104,ROWS(T$2:$T14)),"")</f>
        <v>13</v>
      </c>
    </row>
    <row r="15" spans="1:21" x14ac:dyDescent="0.25">
      <c r="A15" s="4" t="s">
        <v>279</v>
      </c>
      <c r="B15" s="27" t="s">
        <v>287</v>
      </c>
      <c r="C15" s="5" t="s">
        <v>49</v>
      </c>
      <c r="D15" s="3" t="s">
        <v>297</v>
      </c>
      <c r="E15" s="28">
        <v>159</v>
      </c>
      <c r="F15" s="23" t="s">
        <v>31</v>
      </c>
      <c r="G15" s="23" t="s">
        <v>305</v>
      </c>
      <c r="H15" s="25" t="s">
        <v>276</v>
      </c>
      <c r="I15" s="25" t="s">
        <v>468</v>
      </c>
      <c r="J15" s="25" t="s">
        <v>87</v>
      </c>
      <c r="K15" s="25"/>
      <c r="L15" s="25" t="s">
        <v>235</v>
      </c>
      <c r="O15" t="b">
        <f>IF(Calcul_Filaire!$F$2="Constructeur",TRUE,Calcul_Filaire!$F$2=Source_Filaire!A15)</f>
        <v>1</v>
      </c>
      <c r="P15" t="b">
        <f>IF(Calcul_Filaire!$G$2="Mono/Bino",TRUE,Calcul_Filaire!$G$2=Source_Filaire!F15)</f>
        <v>1</v>
      </c>
      <c r="Q15" t="b">
        <f>IF(Calcul_Filaire!$H$2="Connectivité",TRUE,Calcul_Filaire!$H$2=Source_Filaire!I15)</f>
        <v>1</v>
      </c>
      <c r="R15" t="b">
        <f t="shared" si="0"/>
        <v>1</v>
      </c>
      <c r="T15">
        <f>IF(R15,ROWS($R$2:R15),"")</f>
        <v>14</v>
      </c>
      <c r="U15" s="1">
        <f>IFERROR(SMALL($T$2:$T$104,ROWS(T$2:$T15)),"")</f>
        <v>14</v>
      </c>
    </row>
    <row r="16" spans="1:21" x14ac:dyDescent="0.25">
      <c r="A16" s="4" t="s">
        <v>279</v>
      </c>
      <c r="B16" s="27" t="s">
        <v>288</v>
      </c>
      <c r="C16" s="5" t="s">
        <v>49</v>
      </c>
      <c r="D16" s="3" t="s">
        <v>298</v>
      </c>
      <c r="E16" s="28">
        <v>159</v>
      </c>
      <c r="F16" s="23" t="s">
        <v>30</v>
      </c>
      <c r="G16" s="23" t="s">
        <v>306</v>
      </c>
      <c r="H16" s="25" t="s">
        <v>276</v>
      </c>
      <c r="I16" s="25" t="s">
        <v>468</v>
      </c>
      <c r="J16" s="25" t="s">
        <v>277</v>
      </c>
      <c r="K16" s="25"/>
      <c r="L16" s="25" t="s">
        <v>235</v>
      </c>
      <c r="O16" t="b">
        <f>IF(Calcul_Filaire!$F$2="Constructeur",TRUE,Calcul_Filaire!$F$2=Source_Filaire!A16)</f>
        <v>1</v>
      </c>
      <c r="P16" t="b">
        <f>IF(Calcul_Filaire!$G$2="Mono/Bino",TRUE,Calcul_Filaire!$G$2=Source_Filaire!F16)</f>
        <v>1</v>
      </c>
      <c r="Q16" t="b">
        <f>IF(Calcul_Filaire!$H$2="Connectivité",TRUE,Calcul_Filaire!$H$2=Source_Filaire!I16)</f>
        <v>1</v>
      </c>
      <c r="R16" t="b">
        <f t="shared" si="0"/>
        <v>1</v>
      </c>
      <c r="T16">
        <f>IF(R16,ROWS($R$2:R16),"")</f>
        <v>15</v>
      </c>
      <c r="U16" s="1">
        <f>IFERROR(SMALL($T$2:$T$104,ROWS(T$2:$T16)),"")</f>
        <v>15</v>
      </c>
    </row>
    <row r="17" spans="1:21" x14ac:dyDescent="0.25">
      <c r="A17" s="4" t="s">
        <v>279</v>
      </c>
      <c r="B17" s="27" t="s">
        <v>289</v>
      </c>
      <c r="C17" s="5" t="s">
        <v>49</v>
      </c>
      <c r="D17" s="3" t="s">
        <v>299</v>
      </c>
      <c r="E17" s="28">
        <v>179</v>
      </c>
      <c r="F17" s="23" t="s">
        <v>31</v>
      </c>
      <c r="G17" s="23" t="s">
        <v>307</v>
      </c>
      <c r="H17" s="25" t="s">
        <v>276</v>
      </c>
      <c r="I17" s="25" t="s">
        <v>468</v>
      </c>
      <c r="J17" s="25" t="s">
        <v>277</v>
      </c>
      <c r="K17" s="25"/>
      <c r="L17" s="25" t="s">
        <v>235</v>
      </c>
      <c r="O17" t="b">
        <f>IF(Calcul_Filaire!$F$2="Constructeur",TRUE,Calcul_Filaire!$F$2=Source_Filaire!A17)</f>
        <v>1</v>
      </c>
      <c r="P17" t="b">
        <f>IF(Calcul_Filaire!$G$2="Mono/Bino",TRUE,Calcul_Filaire!$G$2=Source_Filaire!F17)</f>
        <v>1</v>
      </c>
      <c r="Q17" t="b">
        <f>IF(Calcul_Filaire!$H$2="Connectivité",TRUE,Calcul_Filaire!$H$2=Source_Filaire!I17)</f>
        <v>1</v>
      </c>
      <c r="R17" t="b">
        <f t="shared" si="0"/>
        <v>1</v>
      </c>
      <c r="T17">
        <f>IF(R17,ROWS($R$2:R17),"")</f>
        <v>16</v>
      </c>
      <c r="U17" s="1">
        <f>IFERROR(SMALL($T$2:$T$104,ROWS(T$2:$T17)),"")</f>
        <v>16</v>
      </c>
    </row>
    <row r="18" spans="1:21" x14ac:dyDescent="0.25">
      <c r="A18" s="4" t="s">
        <v>55</v>
      </c>
      <c r="B18" s="27" t="s">
        <v>308</v>
      </c>
      <c r="C18" s="5" t="s">
        <v>49</v>
      </c>
      <c r="D18" s="3">
        <v>504556</v>
      </c>
      <c r="E18" s="28">
        <v>124</v>
      </c>
      <c r="F18" s="23" t="s">
        <v>30</v>
      </c>
      <c r="G18" s="23" t="s">
        <v>312</v>
      </c>
      <c r="H18" s="25" t="s">
        <v>276</v>
      </c>
      <c r="I18" s="25" t="s">
        <v>468</v>
      </c>
      <c r="J18" s="25" t="s">
        <v>87</v>
      </c>
      <c r="K18" s="25"/>
      <c r="L18" s="25" t="s">
        <v>235</v>
      </c>
      <c r="O18" t="b">
        <f>IF(Calcul_Filaire!$F$2="Constructeur",TRUE,Calcul_Filaire!$F$2=Source_Filaire!A18)</f>
        <v>1</v>
      </c>
      <c r="P18" t="b">
        <f>IF(Calcul_Filaire!$G$2="Mono/Bino",TRUE,Calcul_Filaire!$G$2=Source_Filaire!F18)</f>
        <v>1</v>
      </c>
      <c r="Q18" t="b">
        <f>IF(Calcul_Filaire!$H$2="Connectivité",TRUE,Calcul_Filaire!$H$2=Source_Filaire!I18)</f>
        <v>1</v>
      </c>
      <c r="R18" t="b">
        <f t="shared" si="0"/>
        <v>1</v>
      </c>
      <c r="T18">
        <f>IF(R18,ROWS($R$2:R18),"")</f>
        <v>17</v>
      </c>
      <c r="U18" s="1">
        <f>IFERROR(SMALL($T$2:$T$104,ROWS(T$2:$T18)),"")</f>
        <v>17</v>
      </c>
    </row>
    <row r="19" spans="1:21" x14ac:dyDescent="0.25">
      <c r="A19" s="4" t="s">
        <v>55</v>
      </c>
      <c r="B19" s="27" t="s">
        <v>309</v>
      </c>
      <c r="C19" s="5" t="s">
        <v>49</v>
      </c>
      <c r="D19" s="3">
        <v>504557</v>
      </c>
      <c r="E19" s="28">
        <v>209</v>
      </c>
      <c r="F19" s="23" t="s">
        <v>31</v>
      </c>
      <c r="G19" s="23" t="s">
        <v>313</v>
      </c>
      <c r="H19" s="25" t="s">
        <v>276</v>
      </c>
      <c r="I19" s="25" t="s">
        <v>468</v>
      </c>
      <c r="J19" s="25" t="s">
        <v>87</v>
      </c>
      <c r="K19" s="25"/>
      <c r="L19" s="25" t="s">
        <v>235</v>
      </c>
      <c r="O19" t="b">
        <f>IF(Calcul_Filaire!$F$2="Constructeur",TRUE,Calcul_Filaire!$F$2=Source_Filaire!A19)</f>
        <v>1</v>
      </c>
      <c r="P19" t="b">
        <f>IF(Calcul_Filaire!$G$2="Mono/Bino",TRUE,Calcul_Filaire!$G$2=Source_Filaire!F19)</f>
        <v>1</v>
      </c>
      <c r="Q19" t="b">
        <f>IF(Calcul_Filaire!$H$2="Connectivité",TRUE,Calcul_Filaire!$H$2=Source_Filaire!I19)</f>
        <v>1</v>
      </c>
      <c r="R19" t="b">
        <f t="shared" si="0"/>
        <v>1</v>
      </c>
      <c r="T19">
        <f>IF(R19,ROWS($R$2:R19),"")</f>
        <v>18</v>
      </c>
      <c r="U19" s="1">
        <f>IFERROR(SMALL($T$2:$T$104,ROWS(T$2:$T19)),"")</f>
        <v>18</v>
      </c>
    </row>
    <row r="20" spans="1:21" x14ac:dyDescent="0.25">
      <c r="A20" s="4" t="s">
        <v>55</v>
      </c>
      <c r="B20" s="27" t="s">
        <v>310</v>
      </c>
      <c r="C20" s="5" t="s">
        <v>49</v>
      </c>
      <c r="D20" s="3">
        <v>504401</v>
      </c>
      <c r="E20" s="28">
        <v>100</v>
      </c>
      <c r="F20" s="23" t="s">
        <v>30</v>
      </c>
      <c r="G20" s="23" t="s">
        <v>314</v>
      </c>
      <c r="H20" s="25" t="s">
        <v>276</v>
      </c>
      <c r="I20" s="25" t="s">
        <v>468</v>
      </c>
      <c r="J20" s="25" t="s">
        <v>87</v>
      </c>
      <c r="K20" s="25"/>
      <c r="L20" s="25" t="s">
        <v>235</v>
      </c>
      <c r="O20" t="b">
        <f>IF(Calcul_Filaire!$F$2="Constructeur",TRUE,Calcul_Filaire!$F$2=Source_Filaire!A20)</f>
        <v>1</v>
      </c>
      <c r="P20" t="b">
        <f>IF(Calcul_Filaire!$G$2="Mono/Bino",TRUE,Calcul_Filaire!$G$2=Source_Filaire!F20)</f>
        <v>1</v>
      </c>
      <c r="Q20" t="b">
        <f>IF(Calcul_Filaire!$H$2="Connectivité",TRUE,Calcul_Filaire!$H$2=Source_Filaire!I20)</f>
        <v>1</v>
      </c>
      <c r="R20" t="b">
        <f t="shared" si="0"/>
        <v>1</v>
      </c>
      <c r="T20">
        <f>IF(R20,ROWS($R$2:R20),"")</f>
        <v>19</v>
      </c>
      <c r="U20" s="1">
        <f>IFERROR(SMALL($T$2:$T$104,ROWS(T$2:$T20)),"")</f>
        <v>19</v>
      </c>
    </row>
    <row r="21" spans="1:21" x14ac:dyDescent="0.25">
      <c r="A21" s="4" t="s">
        <v>55</v>
      </c>
      <c r="B21" s="27" t="s">
        <v>311</v>
      </c>
      <c r="C21" s="5" t="s">
        <v>49</v>
      </c>
      <c r="D21" s="3">
        <v>504402</v>
      </c>
      <c r="E21" s="28">
        <v>82.9</v>
      </c>
      <c r="F21" s="23" t="s">
        <v>31</v>
      </c>
      <c r="G21" s="23" t="s">
        <v>315</v>
      </c>
      <c r="H21" s="25" t="s">
        <v>276</v>
      </c>
      <c r="I21" s="25" t="s">
        <v>468</v>
      </c>
      <c r="J21" s="25" t="s">
        <v>87</v>
      </c>
      <c r="K21" s="25"/>
      <c r="L21" s="25" t="s">
        <v>235</v>
      </c>
      <c r="O21" t="b">
        <f>IF(Calcul_Filaire!$F$2="Constructeur",TRUE,Calcul_Filaire!$F$2=Source_Filaire!A21)</f>
        <v>1</v>
      </c>
      <c r="P21" t="b">
        <f>IF(Calcul_Filaire!$G$2="Mono/Bino",TRUE,Calcul_Filaire!$G$2=Source_Filaire!F21)</f>
        <v>1</v>
      </c>
      <c r="Q21" t="b">
        <f>IF(Calcul_Filaire!$H$2="Connectivité",TRUE,Calcul_Filaire!$H$2=Source_Filaire!I21)</f>
        <v>1</v>
      </c>
      <c r="R21" t="b">
        <f t="shared" si="0"/>
        <v>1</v>
      </c>
      <c r="T21">
        <f>IF(R21,ROWS($R$2:R21),"")</f>
        <v>20</v>
      </c>
      <c r="U21" s="1">
        <f>IFERROR(SMALL($T$2:$T$104,ROWS(T$2:$T21)),"")</f>
        <v>20</v>
      </c>
    </row>
    <row r="22" spans="1:21" x14ac:dyDescent="0.25">
      <c r="A22" s="4" t="s">
        <v>19</v>
      </c>
      <c r="B22" s="27" t="s">
        <v>317</v>
      </c>
      <c r="C22" s="5" t="s">
        <v>49</v>
      </c>
      <c r="D22" s="3" t="s">
        <v>354</v>
      </c>
      <c r="E22" s="28">
        <v>40</v>
      </c>
      <c r="F22" s="23" t="s">
        <v>30</v>
      </c>
      <c r="H22" s="25" t="s">
        <v>390</v>
      </c>
      <c r="I22" s="25" t="s">
        <v>29</v>
      </c>
      <c r="J22" s="25" t="s">
        <v>87</v>
      </c>
      <c r="K22" s="25" t="s">
        <v>84</v>
      </c>
      <c r="L22" s="25" t="s">
        <v>235</v>
      </c>
      <c r="O22" t="b">
        <f>IF(Calcul_Filaire!$F$2="Constructeur",TRUE,Calcul_Filaire!$F$2=Source_Filaire!A22)</f>
        <v>1</v>
      </c>
      <c r="P22" t="b">
        <f>IF(Calcul_Filaire!$G$2="Mono/Bino",TRUE,Calcul_Filaire!$G$2=Source_Filaire!F22)</f>
        <v>1</v>
      </c>
      <c r="Q22" t="b">
        <f>IF(Calcul_Filaire!$H$2="Connectivité",TRUE,Calcul_Filaire!$H$2=Source_Filaire!I22)</f>
        <v>1</v>
      </c>
      <c r="R22" t="b">
        <f t="shared" si="0"/>
        <v>1</v>
      </c>
      <c r="T22">
        <f>IF(R22,ROWS($R$2:R22),"")</f>
        <v>21</v>
      </c>
      <c r="U22" s="1">
        <f>IFERROR(SMALL($T$2:$T$104,ROWS(T$2:$T22)),"")</f>
        <v>21</v>
      </c>
    </row>
    <row r="23" spans="1:21" x14ac:dyDescent="0.25">
      <c r="A23" s="4" t="s">
        <v>19</v>
      </c>
      <c r="B23" s="27" t="s">
        <v>318</v>
      </c>
      <c r="C23" s="5" t="s">
        <v>49</v>
      </c>
      <c r="D23" s="3" t="s">
        <v>355</v>
      </c>
      <c r="E23" s="28">
        <v>37</v>
      </c>
      <c r="F23" s="23" t="s">
        <v>31</v>
      </c>
      <c r="H23" s="25" t="s">
        <v>390</v>
      </c>
      <c r="I23" s="25" t="s">
        <v>29</v>
      </c>
      <c r="J23" s="25" t="s">
        <v>87</v>
      </c>
      <c r="K23" s="25" t="s">
        <v>84</v>
      </c>
      <c r="L23" s="25" t="s">
        <v>235</v>
      </c>
      <c r="O23" t="b">
        <f>IF(Calcul_Filaire!$F$2="Constructeur",TRUE,Calcul_Filaire!$F$2=Source_Filaire!A23)</f>
        <v>1</v>
      </c>
      <c r="P23" t="b">
        <f>IF(Calcul_Filaire!$G$2="Mono/Bino",TRUE,Calcul_Filaire!$G$2=Source_Filaire!F23)</f>
        <v>1</v>
      </c>
      <c r="Q23" t="b">
        <f>IF(Calcul_Filaire!$H$2="Connectivité",TRUE,Calcul_Filaire!$H$2=Source_Filaire!I23)</f>
        <v>1</v>
      </c>
      <c r="R23" t="b">
        <f t="shared" si="0"/>
        <v>1</v>
      </c>
      <c r="T23">
        <f>IF(R23,ROWS($R$2:R23),"")</f>
        <v>22</v>
      </c>
      <c r="U23" s="1">
        <f>IFERROR(SMALL($T$2:$T$104,ROWS(T$2:$T23)),"")</f>
        <v>22</v>
      </c>
    </row>
    <row r="24" spans="1:21" x14ac:dyDescent="0.25">
      <c r="A24" s="4" t="s">
        <v>19</v>
      </c>
      <c r="B24" s="27" t="s">
        <v>319</v>
      </c>
      <c r="C24" s="5" t="s">
        <v>49</v>
      </c>
      <c r="D24" s="3" t="s">
        <v>356</v>
      </c>
      <c r="E24" s="28">
        <v>40</v>
      </c>
      <c r="F24" s="23" t="s">
        <v>30</v>
      </c>
      <c r="H24" s="25" t="s">
        <v>390</v>
      </c>
      <c r="I24" s="25" t="s">
        <v>29</v>
      </c>
      <c r="J24" s="25" t="s">
        <v>87</v>
      </c>
      <c r="K24" s="25" t="s">
        <v>85</v>
      </c>
      <c r="L24" s="25" t="s">
        <v>235</v>
      </c>
      <c r="O24" t="b">
        <f>IF(Calcul_Filaire!$F$2="Constructeur",TRUE,Calcul_Filaire!$F$2=Source_Filaire!A24)</f>
        <v>1</v>
      </c>
      <c r="P24" t="b">
        <f>IF(Calcul_Filaire!$G$2="Mono/Bino",TRUE,Calcul_Filaire!$G$2=Source_Filaire!F24)</f>
        <v>1</v>
      </c>
      <c r="Q24" t="b">
        <f>IF(Calcul_Filaire!$H$2="Connectivité",TRUE,Calcul_Filaire!$H$2=Source_Filaire!I24)</f>
        <v>1</v>
      </c>
      <c r="R24" t="b">
        <f t="shared" si="0"/>
        <v>1</v>
      </c>
      <c r="T24">
        <f>IF(R24,ROWS($R$2:R24),"")</f>
        <v>23</v>
      </c>
      <c r="U24" s="1">
        <f>IFERROR(SMALL($T$2:$T$104,ROWS(T$2:$T24)),"")</f>
        <v>23</v>
      </c>
    </row>
    <row r="25" spans="1:21" x14ac:dyDescent="0.25">
      <c r="A25" s="4" t="s">
        <v>19</v>
      </c>
      <c r="B25" s="27" t="s">
        <v>320</v>
      </c>
      <c r="C25" s="5" t="s">
        <v>49</v>
      </c>
      <c r="D25" s="3" t="s">
        <v>357</v>
      </c>
      <c r="E25" s="28">
        <v>50</v>
      </c>
      <c r="F25" s="23" t="s">
        <v>31</v>
      </c>
      <c r="H25" s="25" t="s">
        <v>390</v>
      </c>
      <c r="I25" s="25" t="s">
        <v>29</v>
      </c>
      <c r="J25" s="25" t="s">
        <v>87</v>
      </c>
      <c r="K25" s="25" t="s">
        <v>85</v>
      </c>
      <c r="L25" s="25" t="s">
        <v>235</v>
      </c>
      <c r="O25" t="b">
        <f>IF(Calcul_Filaire!$F$2="Constructeur",TRUE,Calcul_Filaire!$F$2=Source_Filaire!A25)</f>
        <v>1</v>
      </c>
      <c r="P25" t="b">
        <f>IF(Calcul_Filaire!$G$2="Mono/Bino",TRUE,Calcul_Filaire!$G$2=Source_Filaire!F25)</f>
        <v>1</v>
      </c>
      <c r="Q25" t="b">
        <f>IF(Calcul_Filaire!$H$2="Connectivité",TRUE,Calcul_Filaire!$H$2=Source_Filaire!I25)</f>
        <v>1</v>
      </c>
      <c r="R25" t="b">
        <f t="shared" si="0"/>
        <v>1</v>
      </c>
      <c r="T25">
        <f>IF(R25,ROWS($R$2:R25),"")</f>
        <v>24</v>
      </c>
      <c r="U25" s="1">
        <f>IFERROR(SMALL($T$2:$T$104,ROWS(T$2:$T25)),"")</f>
        <v>24</v>
      </c>
    </row>
    <row r="26" spans="1:21" x14ac:dyDescent="0.25">
      <c r="A26" s="4" t="s">
        <v>19</v>
      </c>
      <c r="B26" s="27" t="s">
        <v>321</v>
      </c>
      <c r="C26" s="5" t="s">
        <v>49</v>
      </c>
      <c r="D26" s="3" t="s">
        <v>358</v>
      </c>
      <c r="E26" s="28">
        <v>68</v>
      </c>
      <c r="F26" s="23" t="s">
        <v>30</v>
      </c>
      <c r="H26" s="25" t="s">
        <v>390</v>
      </c>
      <c r="I26" s="25" t="s">
        <v>29</v>
      </c>
      <c r="J26" s="25" t="s">
        <v>87</v>
      </c>
      <c r="K26" s="25" t="s">
        <v>84</v>
      </c>
      <c r="L26" s="25" t="s">
        <v>235</v>
      </c>
      <c r="O26" t="b">
        <f>IF(Calcul_Filaire!$F$2="Constructeur",TRUE,Calcul_Filaire!$F$2=Source_Filaire!A26)</f>
        <v>1</v>
      </c>
      <c r="P26" t="b">
        <f>IF(Calcul_Filaire!$G$2="Mono/Bino",TRUE,Calcul_Filaire!$G$2=Source_Filaire!F26)</f>
        <v>1</v>
      </c>
      <c r="Q26" t="b">
        <f>IF(Calcul_Filaire!$H$2="Connectivité",TRUE,Calcul_Filaire!$H$2=Source_Filaire!I26)</f>
        <v>1</v>
      </c>
      <c r="R26" t="b">
        <f t="shared" si="0"/>
        <v>1</v>
      </c>
      <c r="T26">
        <f>IF(R26,ROWS($R$2:R26),"")</f>
        <v>25</v>
      </c>
      <c r="U26" s="1">
        <f>IFERROR(SMALL($T$2:$T$104,ROWS(T$2:$T26)),"")</f>
        <v>25</v>
      </c>
    </row>
    <row r="27" spans="1:21" x14ac:dyDescent="0.25">
      <c r="A27" s="4" t="s">
        <v>19</v>
      </c>
      <c r="B27" s="27" t="s">
        <v>322</v>
      </c>
      <c r="C27" s="5" t="s">
        <v>49</v>
      </c>
      <c r="D27" s="3" t="s">
        <v>389</v>
      </c>
      <c r="E27" s="28">
        <v>78</v>
      </c>
      <c r="F27" s="23" t="s">
        <v>31</v>
      </c>
      <c r="G27" s="1" t="s">
        <v>391</v>
      </c>
      <c r="H27" s="25" t="s">
        <v>390</v>
      </c>
      <c r="I27" s="25" t="s">
        <v>29</v>
      </c>
      <c r="J27" s="25" t="s">
        <v>87</v>
      </c>
      <c r="K27" s="25" t="s">
        <v>84</v>
      </c>
      <c r="L27" s="25" t="s">
        <v>235</v>
      </c>
      <c r="O27" t="b">
        <f>IF(Calcul_Filaire!$F$2="Constructeur",TRUE,Calcul_Filaire!$F$2=Source_Filaire!A27)</f>
        <v>1</v>
      </c>
      <c r="P27" t="b">
        <f>IF(Calcul_Filaire!$G$2="Mono/Bino",TRUE,Calcul_Filaire!$G$2=Source_Filaire!F27)</f>
        <v>1</v>
      </c>
      <c r="Q27" t="b">
        <f>IF(Calcul_Filaire!$H$2="Connectivité",TRUE,Calcul_Filaire!$H$2=Source_Filaire!I27)</f>
        <v>1</v>
      </c>
      <c r="R27" t="b">
        <f t="shared" si="0"/>
        <v>1</v>
      </c>
      <c r="T27">
        <f>IF(R27,ROWS($R$2:R27),"")</f>
        <v>26</v>
      </c>
      <c r="U27" s="1">
        <f>IFERROR(SMALL($T$2:$T$104,ROWS(T$2:$T27)),"")</f>
        <v>26</v>
      </c>
    </row>
    <row r="28" spans="1:21" x14ac:dyDescent="0.25">
      <c r="A28" s="4" t="s">
        <v>19</v>
      </c>
      <c r="B28" s="27" t="s">
        <v>323</v>
      </c>
      <c r="C28" s="5" t="s">
        <v>49</v>
      </c>
      <c r="D28" s="3" t="s">
        <v>359</v>
      </c>
      <c r="E28" s="28">
        <v>68</v>
      </c>
      <c r="F28" s="23" t="s">
        <v>30</v>
      </c>
      <c r="H28" s="25" t="s">
        <v>390</v>
      </c>
      <c r="I28" s="25" t="s">
        <v>29</v>
      </c>
      <c r="J28" s="25" t="s">
        <v>87</v>
      </c>
      <c r="K28" s="25" t="s">
        <v>85</v>
      </c>
      <c r="L28" s="25" t="s">
        <v>235</v>
      </c>
      <c r="O28" t="b">
        <f>IF(Calcul_Filaire!$F$2="Constructeur",TRUE,Calcul_Filaire!$F$2=Source_Filaire!A28)</f>
        <v>1</v>
      </c>
      <c r="P28" t="b">
        <f>IF(Calcul_Filaire!$G$2="Mono/Bino",TRUE,Calcul_Filaire!$G$2=Source_Filaire!F28)</f>
        <v>1</v>
      </c>
      <c r="Q28" t="b">
        <f>IF(Calcul_Filaire!$H$2="Connectivité",TRUE,Calcul_Filaire!$H$2=Source_Filaire!I28)</f>
        <v>1</v>
      </c>
      <c r="R28" t="b">
        <f t="shared" si="0"/>
        <v>1</v>
      </c>
      <c r="T28">
        <f>IF(R28,ROWS($R$2:R28),"")</f>
        <v>27</v>
      </c>
      <c r="U28" s="1">
        <f>IFERROR(SMALL($T$2:$T$104,ROWS(T$2:$T28)),"")</f>
        <v>27</v>
      </c>
    </row>
    <row r="29" spans="1:21" x14ac:dyDescent="0.25">
      <c r="A29" s="4" t="s">
        <v>19</v>
      </c>
      <c r="B29" s="27" t="s">
        <v>324</v>
      </c>
      <c r="C29" s="5" t="s">
        <v>49</v>
      </c>
      <c r="D29" s="3" t="s">
        <v>360</v>
      </c>
      <c r="E29" s="28">
        <v>78</v>
      </c>
      <c r="F29" s="23" t="s">
        <v>31</v>
      </c>
      <c r="G29" s="1" t="s">
        <v>391</v>
      </c>
      <c r="H29" s="25" t="s">
        <v>390</v>
      </c>
      <c r="I29" s="25" t="s">
        <v>29</v>
      </c>
      <c r="J29" s="25" t="s">
        <v>87</v>
      </c>
      <c r="K29" s="25" t="s">
        <v>85</v>
      </c>
      <c r="L29" s="25" t="s">
        <v>235</v>
      </c>
      <c r="O29" t="b">
        <f>IF(Calcul_Filaire!$F$2="Constructeur",TRUE,Calcul_Filaire!$F$2=Source_Filaire!A29)</f>
        <v>1</v>
      </c>
      <c r="P29" t="b">
        <f>IF(Calcul_Filaire!$G$2="Mono/Bino",TRUE,Calcul_Filaire!$G$2=Source_Filaire!F29)</f>
        <v>1</v>
      </c>
      <c r="Q29" t="b">
        <f>IF(Calcul_Filaire!$H$2="Connectivité",TRUE,Calcul_Filaire!$H$2=Source_Filaire!I29)</f>
        <v>1</v>
      </c>
      <c r="R29" t="b">
        <f t="shared" si="0"/>
        <v>1</v>
      </c>
      <c r="T29">
        <f>IF(R29,ROWS($R$2:R29),"")</f>
        <v>28</v>
      </c>
      <c r="U29" s="1">
        <f>IFERROR(SMALL($T$2:$T$104,ROWS(T$2:$T29)),"")</f>
        <v>28</v>
      </c>
    </row>
    <row r="30" spans="1:21" x14ac:dyDescent="0.25">
      <c r="A30" s="4" t="s">
        <v>19</v>
      </c>
      <c r="B30" s="27" t="s">
        <v>325</v>
      </c>
      <c r="C30" s="5" t="s">
        <v>49</v>
      </c>
      <c r="D30" s="3" t="s">
        <v>361</v>
      </c>
      <c r="E30" s="28">
        <v>89</v>
      </c>
      <c r="F30" s="23" t="s">
        <v>30</v>
      </c>
      <c r="H30" s="25" t="s">
        <v>390</v>
      </c>
      <c r="I30" s="25" t="s">
        <v>29</v>
      </c>
      <c r="J30" s="25" t="s">
        <v>87</v>
      </c>
      <c r="K30" s="25" t="s">
        <v>84</v>
      </c>
      <c r="L30" s="25" t="s">
        <v>235</v>
      </c>
      <c r="O30" t="b">
        <f>IF(Calcul_Filaire!$F$2="Constructeur",TRUE,Calcul_Filaire!$F$2=Source_Filaire!A30)</f>
        <v>1</v>
      </c>
      <c r="P30" t="b">
        <f>IF(Calcul_Filaire!$G$2="Mono/Bino",TRUE,Calcul_Filaire!$G$2=Source_Filaire!F30)</f>
        <v>1</v>
      </c>
      <c r="Q30" t="b">
        <f>IF(Calcul_Filaire!$H$2="Connectivité",TRUE,Calcul_Filaire!$H$2=Source_Filaire!I30)</f>
        <v>1</v>
      </c>
      <c r="R30" t="b">
        <f t="shared" si="0"/>
        <v>1</v>
      </c>
      <c r="T30">
        <f>IF(R30,ROWS($R$2:R30),"")</f>
        <v>29</v>
      </c>
      <c r="U30" s="1">
        <f>IFERROR(SMALL($T$2:$T$104,ROWS(T$2:$T30)),"")</f>
        <v>29</v>
      </c>
    </row>
    <row r="31" spans="1:21" x14ac:dyDescent="0.25">
      <c r="A31" s="4" t="s">
        <v>19</v>
      </c>
      <c r="B31" s="27" t="s">
        <v>326</v>
      </c>
      <c r="C31" s="5" t="s">
        <v>49</v>
      </c>
      <c r="D31" s="3" t="s">
        <v>362</v>
      </c>
      <c r="E31" s="28">
        <v>99</v>
      </c>
      <c r="F31" s="23" t="s">
        <v>31</v>
      </c>
      <c r="G31" s="1" t="s">
        <v>392</v>
      </c>
      <c r="H31" s="25" t="s">
        <v>390</v>
      </c>
      <c r="I31" s="25" t="s">
        <v>29</v>
      </c>
      <c r="J31" s="25" t="s">
        <v>87</v>
      </c>
      <c r="K31" s="25" t="s">
        <v>84</v>
      </c>
      <c r="L31" s="25" t="s">
        <v>235</v>
      </c>
      <c r="O31" t="b">
        <f>IF(Calcul_Filaire!$F$2="Constructeur",TRUE,Calcul_Filaire!$F$2=Source_Filaire!A31)</f>
        <v>1</v>
      </c>
      <c r="P31" t="b">
        <f>IF(Calcul_Filaire!$G$2="Mono/Bino",TRUE,Calcul_Filaire!$G$2=Source_Filaire!F31)</f>
        <v>1</v>
      </c>
      <c r="Q31" t="b">
        <f>IF(Calcul_Filaire!$H$2="Connectivité",TRUE,Calcul_Filaire!$H$2=Source_Filaire!I31)</f>
        <v>1</v>
      </c>
      <c r="R31" t="b">
        <f t="shared" si="0"/>
        <v>1</v>
      </c>
      <c r="T31">
        <f>IF(R31,ROWS($R$2:R31),"")</f>
        <v>30</v>
      </c>
      <c r="U31" s="1">
        <f>IFERROR(SMALL($T$2:$T$104,ROWS(T$2:$T31)),"")</f>
        <v>30</v>
      </c>
    </row>
    <row r="32" spans="1:21" x14ac:dyDescent="0.25">
      <c r="A32" s="4" t="s">
        <v>19</v>
      </c>
      <c r="B32" s="27" t="s">
        <v>327</v>
      </c>
      <c r="C32" s="5" t="s">
        <v>49</v>
      </c>
      <c r="D32" s="3" t="s">
        <v>363</v>
      </c>
      <c r="E32" s="28">
        <v>89</v>
      </c>
      <c r="F32" s="23" t="s">
        <v>30</v>
      </c>
      <c r="H32" s="25" t="s">
        <v>390</v>
      </c>
      <c r="I32" s="25" t="s">
        <v>29</v>
      </c>
      <c r="J32" s="25" t="s">
        <v>87</v>
      </c>
      <c r="K32" s="25" t="s">
        <v>85</v>
      </c>
      <c r="L32" s="25" t="s">
        <v>235</v>
      </c>
      <c r="O32" t="b">
        <f>IF(Calcul_Filaire!$F$2="Constructeur",TRUE,Calcul_Filaire!$F$2=Source_Filaire!A32)</f>
        <v>1</v>
      </c>
      <c r="P32" t="b">
        <f>IF(Calcul_Filaire!$G$2="Mono/Bino",TRUE,Calcul_Filaire!$G$2=Source_Filaire!F32)</f>
        <v>1</v>
      </c>
      <c r="Q32" t="b">
        <f>IF(Calcul_Filaire!$H$2="Connectivité",TRUE,Calcul_Filaire!$H$2=Source_Filaire!I32)</f>
        <v>1</v>
      </c>
      <c r="R32" t="b">
        <f t="shared" si="0"/>
        <v>1</v>
      </c>
      <c r="T32">
        <f>IF(R32,ROWS($R$2:R32),"")</f>
        <v>31</v>
      </c>
      <c r="U32" s="1">
        <f>IFERROR(SMALL($T$2:$T$104,ROWS(T$2:$T32)),"")</f>
        <v>31</v>
      </c>
    </row>
    <row r="33" spans="1:21" x14ac:dyDescent="0.25">
      <c r="A33" s="4" t="s">
        <v>19</v>
      </c>
      <c r="B33" s="27" t="s">
        <v>328</v>
      </c>
      <c r="C33" s="5" t="s">
        <v>49</v>
      </c>
      <c r="D33" s="3" t="s">
        <v>364</v>
      </c>
      <c r="E33" s="28">
        <v>99</v>
      </c>
      <c r="F33" s="23" t="s">
        <v>31</v>
      </c>
      <c r="G33" s="1" t="s">
        <v>392</v>
      </c>
      <c r="H33" s="25" t="s">
        <v>390</v>
      </c>
      <c r="I33" s="25" t="s">
        <v>29</v>
      </c>
      <c r="J33" s="25" t="s">
        <v>87</v>
      </c>
      <c r="K33" s="25" t="s">
        <v>85</v>
      </c>
      <c r="L33" s="25" t="s">
        <v>235</v>
      </c>
      <c r="O33" t="b">
        <f>IF(Calcul_Filaire!$F$2="Constructeur",TRUE,Calcul_Filaire!$F$2=Source_Filaire!A33)</f>
        <v>1</v>
      </c>
      <c r="P33" t="b">
        <f>IF(Calcul_Filaire!$G$2="Mono/Bino",TRUE,Calcul_Filaire!$G$2=Source_Filaire!F33)</f>
        <v>1</v>
      </c>
      <c r="Q33" t="b">
        <f>IF(Calcul_Filaire!$H$2="Connectivité",TRUE,Calcul_Filaire!$H$2=Source_Filaire!I33)</f>
        <v>1</v>
      </c>
      <c r="R33" t="b">
        <f t="shared" si="0"/>
        <v>1</v>
      </c>
      <c r="T33">
        <f>IF(R33,ROWS($R$2:R33),"")</f>
        <v>32</v>
      </c>
      <c r="U33" s="1">
        <f>IFERROR(SMALL($T$2:$T$104,ROWS(T$2:$T33)),"")</f>
        <v>32</v>
      </c>
    </row>
    <row r="34" spans="1:21" x14ac:dyDescent="0.25">
      <c r="A34" s="4" t="s">
        <v>19</v>
      </c>
      <c r="B34" s="27" t="s">
        <v>329</v>
      </c>
      <c r="C34" s="5" t="s">
        <v>49</v>
      </c>
      <c r="D34" s="3" t="s">
        <v>365</v>
      </c>
      <c r="E34" s="28">
        <v>329</v>
      </c>
      <c r="F34" s="23" t="s">
        <v>31</v>
      </c>
      <c r="G34" s="1" t="s">
        <v>393</v>
      </c>
      <c r="H34" s="25" t="s">
        <v>390</v>
      </c>
      <c r="I34" s="25" t="s">
        <v>29</v>
      </c>
      <c r="J34" s="25" t="s">
        <v>87</v>
      </c>
      <c r="K34" s="25" t="s">
        <v>84</v>
      </c>
      <c r="L34" s="25" t="s">
        <v>235</v>
      </c>
      <c r="O34" t="b">
        <f>IF(Calcul_Filaire!$F$2="Constructeur",TRUE,Calcul_Filaire!$F$2=Source_Filaire!A34)</f>
        <v>1</v>
      </c>
      <c r="P34" t="b">
        <f>IF(Calcul_Filaire!$G$2="Mono/Bino",TRUE,Calcul_Filaire!$G$2=Source_Filaire!F34)</f>
        <v>1</v>
      </c>
      <c r="Q34" t="b">
        <f>IF(Calcul_Filaire!$H$2="Connectivité",TRUE,Calcul_Filaire!$H$2=Source_Filaire!I34)</f>
        <v>1</v>
      </c>
      <c r="R34" t="b">
        <f t="shared" si="0"/>
        <v>1</v>
      </c>
      <c r="T34">
        <f>IF(R34,ROWS($R$2:R34),"")</f>
        <v>33</v>
      </c>
      <c r="U34" s="1">
        <f>IFERROR(SMALL($T$2:$T$104,ROWS(T$2:$T34)),"")</f>
        <v>33</v>
      </c>
    </row>
    <row r="35" spans="1:21" x14ac:dyDescent="0.25">
      <c r="A35" s="4" t="s">
        <v>19</v>
      </c>
      <c r="B35" s="27" t="s">
        <v>330</v>
      </c>
      <c r="C35" s="5" t="s">
        <v>49</v>
      </c>
      <c r="D35" s="3" t="s">
        <v>366</v>
      </c>
      <c r="E35" s="28">
        <v>329</v>
      </c>
      <c r="F35" s="23" t="s">
        <v>31</v>
      </c>
      <c r="G35" s="1" t="s">
        <v>393</v>
      </c>
      <c r="H35" s="25" t="s">
        <v>390</v>
      </c>
      <c r="I35" s="25" t="s">
        <v>29</v>
      </c>
      <c r="J35" s="25" t="s">
        <v>87</v>
      </c>
      <c r="K35" s="25" t="s">
        <v>85</v>
      </c>
      <c r="L35" s="25" t="s">
        <v>235</v>
      </c>
      <c r="O35" t="b">
        <f>IF(Calcul_Filaire!$F$2="Constructeur",TRUE,Calcul_Filaire!$F$2=Source_Filaire!A35)</f>
        <v>1</v>
      </c>
      <c r="P35" t="b">
        <f>IF(Calcul_Filaire!$G$2="Mono/Bino",TRUE,Calcul_Filaire!$G$2=Source_Filaire!F35)</f>
        <v>1</v>
      </c>
      <c r="Q35" t="b">
        <f>IF(Calcul_Filaire!$H$2="Connectivité",TRUE,Calcul_Filaire!$H$2=Source_Filaire!I35)</f>
        <v>1</v>
      </c>
      <c r="R35" t="b">
        <f t="shared" si="0"/>
        <v>1</v>
      </c>
      <c r="T35">
        <f>IF(R35,ROWS($R$2:R35),"")</f>
        <v>34</v>
      </c>
      <c r="U35" s="1">
        <f>IFERROR(SMALL($T$2:$T$104,ROWS(T$2:$T35)),"")</f>
        <v>34</v>
      </c>
    </row>
    <row r="36" spans="1:21" ht="30" x14ac:dyDescent="0.25">
      <c r="A36" s="4" t="s">
        <v>19</v>
      </c>
      <c r="B36" s="27" t="s">
        <v>331</v>
      </c>
      <c r="C36" s="5" t="s">
        <v>49</v>
      </c>
      <c r="D36" s="3" t="s">
        <v>367</v>
      </c>
      <c r="E36" s="28">
        <v>129</v>
      </c>
      <c r="F36" s="23" t="s">
        <v>30</v>
      </c>
      <c r="G36" s="1" t="s">
        <v>273</v>
      </c>
      <c r="H36" s="25" t="s">
        <v>390</v>
      </c>
      <c r="I36" s="25" t="s">
        <v>29</v>
      </c>
      <c r="J36" s="25" t="s">
        <v>87</v>
      </c>
      <c r="K36" s="25" t="s">
        <v>84</v>
      </c>
      <c r="L36" s="25" t="s">
        <v>235</v>
      </c>
      <c r="O36" t="b">
        <f>IF(Calcul_Filaire!$F$2="Constructeur",TRUE,Calcul_Filaire!$F$2=Source_Filaire!A36)</f>
        <v>1</v>
      </c>
      <c r="P36" t="b">
        <f>IF(Calcul_Filaire!$G$2="Mono/Bino",TRUE,Calcul_Filaire!$G$2=Source_Filaire!F36)</f>
        <v>1</v>
      </c>
      <c r="Q36" t="b">
        <f>IF(Calcul_Filaire!$H$2="Connectivité",TRUE,Calcul_Filaire!$H$2=Source_Filaire!I36)</f>
        <v>1</v>
      </c>
      <c r="R36" t="b">
        <f t="shared" si="0"/>
        <v>1</v>
      </c>
      <c r="T36">
        <f>IF(R36,ROWS($R$2:R36),"")</f>
        <v>35</v>
      </c>
      <c r="U36" s="1">
        <f>IFERROR(SMALL($T$2:$T$104,ROWS(T$2:$T36)),"")</f>
        <v>35</v>
      </c>
    </row>
    <row r="37" spans="1:21" ht="30" x14ac:dyDescent="0.25">
      <c r="A37" s="4" t="s">
        <v>19</v>
      </c>
      <c r="B37" s="27" t="s">
        <v>332</v>
      </c>
      <c r="C37" s="5" t="s">
        <v>49</v>
      </c>
      <c r="D37" s="3" t="s">
        <v>368</v>
      </c>
      <c r="E37" s="28">
        <v>149</v>
      </c>
      <c r="F37" s="23" t="s">
        <v>31</v>
      </c>
      <c r="G37" s="1" t="s">
        <v>274</v>
      </c>
      <c r="H37" s="25" t="s">
        <v>390</v>
      </c>
      <c r="I37" s="25" t="s">
        <v>29</v>
      </c>
      <c r="J37" s="25" t="s">
        <v>87</v>
      </c>
      <c r="K37" s="25" t="s">
        <v>84</v>
      </c>
      <c r="L37" s="25" t="s">
        <v>235</v>
      </c>
      <c r="O37" t="b">
        <f>IF(Calcul_Filaire!$F$2="Constructeur",TRUE,Calcul_Filaire!$F$2=Source_Filaire!A37)</f>
        <v>1</v>
      </c>
      <c r="P37" t="b">
        <f>IF(Calcul_Filaire!$G$2="Mono/Bino",TRUE,Calcul_Filaire!$G$2=Source_Filaire!F37)</f>
        <v>1</v>
      </c>
      <c r="Q37" t="b">
        <f>IF(Calcul_Filaire!$H$2="Connectivité",TRUE,Calcul_Filaire!$H$2=Source_Filaire!I37)</f>
        <v>1</v>
      </c>
      <c r="R37" t="b">
        <f t="shared" si="0"/>
        <v>1</v>
      </c>
      <c r="T37">
        <f>IF(R37,ROWS($R$2:R37),"")</f>
        <v>36</v>
      </c>
      <c r="U37" s="1">
        <f>IFERROR(SMALL($T$2:$T$104,ROWS(T$2:$T37)),"")</f>
        <v>36</v>
      </c>
    </row>
    <row r="38" spans="1:21" ht="30" x14ac:dyDescent="0.25">
      <c r="A38" s="4" t="s">
        <v>19</v>
      </c>
      <c r="B38" s="27" t="s">
        <v>333</v>
      </c>
      <c r="C38" s="5" t="s">
        <v>49</v>
      </c>
      <c r="D38" s="3" t="s">
        <v>369</v>
      </c>
      <c r="E38" s="28">
        <v>129</v>
      </c>
      <c r="F38" s="23" t="s">
        <v>30</v>
      </c>
      <c r="G38" s="1" t="s">
        <v>273</v>
      </c>
      <c r="H38" s="25" t="s">
        <v>390</v>
      </c>
      <c r="I38" s="25" t="s">
        <v>29</v>
      </c>
      <c r="J38" s="25" t="s">
        <v>87</v>
      </c>
      <c r="K38" s="25" t="s">
        <v>85</v>
      </c>
      <c r="L38" s="25" t="s">
        <v>235</v>
      </c>
      <c r="O38" t="b">
        <f>IF(Calcul_Filaire!$F$2="Constructeur",TRUE,Calcul_Filaire!$F$2=Source_Filaire!A38)</f>
        <v>1</v>
      </c>
      <c r="P38" t="b">
        <f>IF(Calcul_Filaire!$G$2="Mono/Bino",TRUE,Calcul_Filaire!$G$2=Source_Filaire!F38)</f>
        <v>1</v>
      </c>
      <c r="Q38" t="b">
        <f>IF(Calcul_Filaire!$H$2="Connectivité",TRUE,Calcul_Filaire!$H$2=Source_Filaire!I38)</f>
        <v>1</v>
      </c>
      <c r="R38" t="b">
        <f t="shared" si="0"/>
        <v>1</v>
      </c>
      <c r="T38">
        <f>IF(R38,ROWS($R$2:R38),"")</f>
        <v>37</v>
      </c>
      <c r="U38" s="1">
        <f>IFERROR(SMALL($T$2:$T$104,ROWS(T$2:$T38)),"")</f>
        <v>37</v>
      </c>
    </row>
    <row r="39" spans="1:21" ht="30" x14ac:dyDescent="0.25">
      <c r="A39" s="4" t="s">
        <v>19</v>
      </c>
      <c r="B39" s="27" t="s">
        <v>334</v>
      </c>
      <c r="C39" s="5" t="s">
        <v>49</v>
      </c>
      <c r="D39" s="3" t="s">
        <v>370</v>
      </c>
      <c r="E39" s="28">
        <v>149</v>
      </c>
      <c r="F39" s="23" t="s">
        <v>31</v>
      </c>
      <c r="G39" s="1" t="s">
        <v>274</v>
      </c>
      <c r="H39" s="25" t="s">
        <v>390</v>
      </c>
      <c r="I39" s="25" t="s">
        <v>29</v>
      </c>
      <c r="J39" s="25" t="s">
        <v>87</v>
      </c>
      <c r="K39" s="25" t="s">
        <v>85</v>
      </c>
      <c r="L39" s="25" t="s">
        <v>235</v>
      </c>
      <c r="O39" t="b">
        <f>IF(Calcul_Filaire!$F$2="Constructeur",TRUE,Calcul_Filaire!$F$2=Source_Filaire!A39)</f>
        <v>1</v>
      </c>
      <c r="P39" t="b">
        <f>IF(Calcul_Filaire!$G$2="Mono/Bino",TRUE,Calcul_Filaire!$G$2=Source_Filaire!F39)</f>
        <v>1</v>
      </c>
      <c r="Q39" t="b">
        <f>IF(Calcul_Filaire!$H$2="Connectivité",TRUE,Calcul_Filaire!$H$2=Source_Filaire!I39)</f>
        <v>1</v>
      </c>
      <c r="R39" t="b">
        <f t="shared" si="0"/>
        <v>1</v>
      </c>
      <c r="T39">
        <f>IF(R39,ROWS($R$2:R39),"")</f>
        <v>38</v>
      </c>
      <c r="U39" s="1">
        <f>IFERROR(SMALL($T$2:$T$104,ROWS(T$2:$T39)),"")</f>
        <v>38</v>
      </c>
    </row>
    <row r="40" spans="1:21" ht="30" x14ac:dyDescent="0.25">
      <c r="A40" s="4" t="s">
        <v>19</v>
      </c>
      <c r="B40" s="27" t="s">
        <v>335</v>
      </c>
      <c r="C40" s="5" t="s">
        <v>49</v>
      </c>
      <c r="D40" s="3" t="s">
        <v>371</v>
      </c>
      <c r="E40" s="28">
        <v>189</v>
      </c>
      <c r="F40" s="23" t="s">
        <v>30</v>
      </c>
      <c r="G40" s="1" t="s">
        <v>394</v>
      </c>
      <c r="H40" s="25" t="s">
        <v>390</v>
      </c>
      <c r="I40" s="25" t="s">
        <v>29</v>
      </c>
      <c r="J40" s="25" t="s">
        <v>87</v>
      </c>
      <c r="K40" s="25" t="s">
        <v>84</v>
      </c>
      <c r="L40" s="25" t="s">
        <v>235</v>
      </c>
      <c r="O40" t="b">
        <f>IF(Calcul_Filaire!$F$2="Constructeur",TRUE,Calcul_Filaire!$F$2=Source_Filaire!A40)</f>
        <v>1</v>
      </c>
      <c r="P40" t="b">
        <f>IF(Calcul_Filaire!$G$2="Mono/Bino",TRUE,Calcul_Filaire!$G$2=Source_Filaire!F40)</f>
        <v>1</v>
      </c>
      <c r="Q40" t="b">
        <f>IF(Calcul_Filaire!$H$2="Connectivité",TRUE,Calcul_Filaire!$H$2=Source_Filaire!I40)</f>
        <v>1</v>
      </c>
      <c r="R40" t="b">
        <f t="shared" si="0"/>
        <v>1</v>
      </c>
      <c r="T40">
        <f>IF(R40,ROWS($R$2:R40),"")</f>
        <v>39</v>
      </c>
      <c r="U40" s="1">
        <f>IFERROR(SMALL($T$2:$T$104,ROWS(T$2:$T40)),"")</f>
        <v>39</v>
      </c>
    </row>
    <row r="41" spans="1:21" ht="30" x14ac:dyDescent="0.25">
      <c r="A41" s="4" t="s">
        <v>19</v>
      </c>
      <c r="B41" s="27" t="s">
        <v>336</v>
      </c>
      <c r="C41" s="5" t="s">
        <v>49</v>
      </c>
      <c r="D41" s="3" t="s">
        <v>372</v>
      </c>
      <c r="E41" s="28">
        <v>199</v>
      </c>
      <c r="F41" s="23" t="s">
        <v>31</v>
      </c>
      <c r="G41" s="1" t="s">
        <v>395</v>
      </c>
      <c r="H41" s="25" t="s">
        <v>390</v>
      </c>
      <c r="I41" s="25" t="s">
        <v>29</v>
      </c>
      <c r="J41" s="25" t="s">
        <v>87</v>
      </c>
      <c r="K41" s="25" t="s">
        <v>84</v>
      </c>
      <c r="L41" s="25" t="s">
        <v>235</v>
      </c>
      <c r="O41" t="b">
        <f>IF(Calcul_Filaire!$F$2="Constructeur",TRUE,Calcul_Filaire!$F$2=Source_Filaire!A41)</f>
        <v>1</v>
      </c>
      <c r="P41" t="b">
        <f>IF(Calcul_Filaire!$G$2="Mono/Bino",TRUE,Calcul_Filaire!$G$2=Source_Filaire!F41)</f>
        <v>1</v>
      </c>
      <c r="Q41" t="b">
        <f>IF(Calcul_Filaire!$H$2="Connectivité",TRUE,Calcul_Filaire!$H$2=Source_Filaire!I41)</f>
        <v>1</v>
      </c>
      <c r="R41" t="b">
        <f t="shared" si="0"/>
        <v>1</v>
      </c>
      <c r="T41">
        <f>IF(R41,ROWS($R$2:R41),"")</f>
        <v>40</v>
      </c>
      <c r="U41" s="1">
        <f>IFERROR(SMALL($T$2:$T$104,ROWS(T$2:$T41)),"")</f>
        <v>40</v>
      </c>
    </row>
    <row r="42" spans="1:21" ht="30" x14ac:dyDescent="0.25">
      <c r="A42" s="4" t="s">
        <v>19</v>
      </c>
      <c r="B42" s="27" t="s">
        <v>337</v>
      </c>
      <c r="C42" s="5" t="s">
        <v>49</v>
      </c>
      <c r="D42" s="3" t="s">
        <v>373</v>
      </c>
      <c r="E42" s="28">
        <v>189</v>
      </c>
      <c r="F42" s="23" t="s">
        <v>30</v>
      </c>
      <c r="G42" s="1" t="s">
        <v>394</v>
      </c>
      <c r="H42" s="25" t="s">
        <v>390</v>
      </c>
      <c r="I42" s="25" t="s">
        <v>29</v>
      </c>
      <c r="J42" s="25" t="s">
        <v>87</v>
      </c>
      <c r="K42" s="25" t="s">
        <v>85</v>
      </c>
      <c r="L42" s="25" t="s">
        <v>235</v>
      </c>
      <c r="O42" t="b">
        <f>IF(Calcul_Filaire!$F$2="Constructeur",TRUE,Calcul_Filaire!$F$2=Source_Filaire!A42)</f>
        <v>1</v>
      </c>
      <c r="P42" t="b">
        <f>IF(Calcul_Filaire!$G$2="Mono/Bino",TRUE,Calcul_Filaire!$G$2=Source_Filaire!F42)</f>
        <v>1</v>
      </c>
      <c r="Q42" t="b">
        <f>IF(Calcul_Filaire!$H$2="Connectivité",TRUE,Calcul_Filaire!$H$2=Source_Filaire!I42)</f>
        <v>1</v>
      </c>
      <c r="R42" t="b">
        <f t="shared" si="0"/>
        <v>1</v>
      </c>
      <c r="T42">
        <f>IF(R42,ROWS($R$2:R42),"")</f>
        <v>41</v>
      </c>
      <c r="U42" s="1">
        <f>IFERROR(SMALL($T$2:$T$104,ROWS(T$2:$T42)),"")</f>
        <v>41</v>
      </c>
    </row>
    <row r="43" spans="1:21" ht="30" x14ac:dyDescent="0.25">
      <c r="A43" s="4" t="s">
        <v>19</v>
      </c>
      <c r="B43" s="27" t="s">
        <v>338</v>
      </c>
      <c r="C43" s="5" t="s">
        <v>49</v>
      </c>
      <c r="D43" s="3" t="s">
        <v>374</v>
      </c>
      <c r="E43" s="28">
        <v>199</v>
      </c>
      <c r="F43" s="23" t="s">
        <v>31</v>
      </c>
      <c r="G43" s="1" t="s">
        <v>395</v>
      </c>
      <c r="H43" s="25" t="s">
        <v>390</v>
      </c>
      <c r="I43" s="25" t="s">
        <v>29</v>
      </c>
      <c r="J43" s="25" t="s">
        <v>87</v>
      </c>
      <c r="K43" s="25" t="s">
        <v>85</v>
      </c>
      <c r="L43" s="25" t="s">
        <v>235</v>
      </c>
      <c r="O43" t="b">
        <f>IF(Calcul_Filaire!$F$2="Constructeur",TRUE,Calcul_Filaire!$F$2=Source_Filaire!A43)</f>
        <v>1</v>
      </c>
      <c r="P43" t="b">
        <f>IF(Calcul_Filaire!$G$2="Mono/Bino",TRUE,Calcul_Filaire!$G$2=Source_Filaire!F43)</f>
        <v>1</v>
      </c>
      <c r="Q43" t="b">
        <f>IF(Calcul_Filaire!$H$2="Connectivité",TRUE,Calcul_Filaire!$H$2=Source_Filaire!I43)</f>
        <v>1</v>
      </c>
      <c r="R43" t="b">
        <f t="shared" si="0"/>
        <v>1</v>
      </c>
      <c r="T43">
        <f>IF(R43,ROWS($R$2:R43),"")</f>
        <v>42</v>
      </c>
      <c r="U43" s="1">
        <f>IFERROR(SMALL($T$2:$T$104,ROWS(T$2:$T43)),"")</f>
        <v>42</v>
      </c>
    </row>
    <row r="44" spans="1:21" x14ac:dyDescent="0.25">
      <c r="A44" s="4" t="s">
        <v>19</v>
      </c>
      <c r="B44" s="27" t="s">
        <v>339</v>
      </c>
      <c r="C44" s="5" t="s">
        <v>49</v>
      </c>
      <c r="D44" s="3" t="s">
        <v>375</v>
      </c>
      <c r="E44" s="28">
        <v>34</v>
      </c>
      <c r="F44" s="23" t="s">
        <v>30</v>
      </c>
      <c r="H44" s="25" t="s">
        <v>390</v>
      </c>
      <c r="I44" s="25" t="s">
        <v>29</v>
      </c>
      <c r="J44" s="25" t="s">
        <v>87</v>
      </c>
      <c r="K44" s="25" t="s">
        <v>84</v>
      </c>
      <c r="L44" s="25" t="s">
        <v>235</v>
      </c>
      <c r="O44" t="b">
        <f>IF(Calcul_Filaire!$F$2="Constructeur",TRUE,Calcul_Filaire!$F$2=Source_Filaire!A44)</f>
        <v>1</v>
      </c>
      <c r="P44" t="b">
        <f>IF(Calcul_Filaire!$G$2="Mono/Bino",TRUE,Calcul_Filaire!$G$2=Source_Filaire!F44)</f>
        <v>1</v>
      </c>
      <c r="Q44" t="b">
        <f>IF(Calcul_Filaire!$H$2="Connectivité",TRUE,Calcul_Filaire!$H$2=Source_Filaire!I44)</f>
        <v>1</v>
      </c>
      <c r="R44" t="b">
        <f t="shared" si="0"/>
        <v>1</v>
      </c>
      <c r="T44">
        <f>IF(R44,ROWS($R$2:R44),"")</f>
        <v>43</v>
      </c>
      <c r="U44" s="1">
        <f>IFERROR(SMALL($T$2:$T$104,ROWS(T$2:$T44)),"")</f>
        <v>43</v>
      </c>
    </row>
    <row r="45" spans="1:21" x14ac:dyDescent="0.25">
      <c r="A45" s="4" t="s">
        <v>19</v>
      </c>
      <c r="B45" s="27" t="s">
        <v>340</v>
      </c>
      <c r="C45" s="5" t="s">
        <v>49</v>
      </c>
      <c r="D45" s="3" t="s">
        <v>376</v>
      </c>
      <c r="E45" s="28">
        <v>39</v>
      </c>
      <c r="F45" s="23" t="s">
        <v>31</v>
      </c>
      <c r="H45" s="25" t="s">
        <v>390</v>
      </c>
      <c r="I45" s="25" t="s">
        <v>29</v>
      </c>
      <c r="J45" s="25" t="s">
        <v>87</v>
      </c>
      <c r="K45" s="25" t="s">
        <v>84</v>
      </c>
      <c r="L45" s="25" t="s">
        <v>235</v>
      </c>
      <c r="O45" t="b">
        <f>IF(Calcul_Filaire!$F$2="Constructeur",TRUE,Calcul_Filaire!$F$2=Source_Filaire!A45)</f>
        <v>1</v>
      </c>
      <c r="P45" t="b">
        <f>IF(Calcul_Filaire!$G$2="Mono/Bino",TRUE,Calcul_Filaire!$G$2=Source_Filaire!F45)</f>
        <v>1</v>
      </c>
      <c r="Q45" t="b">
        <f>IF(Calcul_Filaire!$H$2="Connectivité",TRUE,Calcul_Filaire!$H$2=Source_Filaire!I45)</f>
        <v>1</v>
      </c>
      <c r="R45" t="b">
        <f t="shared" si="0"/>
        <v>1</v>
      </c>
      <c r="T45">
        <f>IF(R45,ROWS($R$2:R45),"")</f>
        <v>44</v>
      </c>
      <c r="U45" s="1">
        <f>IFERROR(SMALL($T$2:$T$104,ROWS(T$2:$T45)),"")</f>
        <v>44</v>
      </c>
    </row>
    <row r="46" spans="1:21" x14ac:dyDescent="0.25">
      <c r="A46" s="4" t="s">
        <v>19</v>
      </c>
      <c r="B46" s="27" t="s">
        <v>341</v>
      </c>
      <c r="C46" s="5" t="s">
        <v>49</v>
      </c>
      <c r="D46" s="3" t="s">
        <v>377</v>
      </c>
      <c r="E46" s="28">
        <v>34</v>
      </c>
      <c r="F46" s="23" t="s">
        <v>30</v>
      </c>
      <c r="H46" s="25" t="s">
        <v>390</v>
      </c>
      <c r="I46" s="25" t="s">
        <v>29</v>
      </c>
      <c r="J46" s="25" t="s">
        <v>87</v>
      </c>
      <c r="K46" s="25" t="s">
        <v>85</v>
      </c>
      <c r="L46" s="25" t="s">
        <v>235</v>
      </c>
      <c r="O46" t="b">
        <f>IF(Calcul_Filaire!$F$2="Constructeur",TRUE,Calcul_Filaire!$F$2=Source_Filaire!A46)</f>
        <v>1</v>
      </c>
      <c r="P46" t="b">
        <f>IF(Calcul_Filaire!$G$2="Mono/Bino",TRUE,Calcul_Filaire!$G$2=Source_Filaire!F46)</f>
        <v>1</v>
      </c>
      <c r="Q46" t="b">
        <f>IF(Calcul_Filaire!$H$2="Connectivité",TRUE,Calcul_Filaire!$H$2=Source_Filaire!I46)</f>
        <v>1</v>
      </c>
      <c r="R46" t="b">
        <f t="shared" si="0"/>
        <v>1</v>
      </c>
      <c r="T46">
        <f>IF(R46,ROWS($R$2:R46),"")</f>
        <v>45</v>
      </c>
      <c r="U46" s="1">
        <f>IFERROR(SMALL($T$2:$T$104,ROWS(T$2:$T46)),"")</f>
        <v>45</v>
      </c>
    </row>
    <row r="47" spans="1:21" x14ac:dyDescent="0.25">
      <c r="A47" s="4" t="s">
        <v>19</v>
      </c>
      <c r="B47" s="27" t="s">
        <v>342</v>
      </c>
      <c r="C47" s="5" t="s">
        <v>49</v>
      </c>
      <c r="D47" s="3" t="s">
        <v>378</v>
      </c>
      <c r="E47" s="28">
        <v>39</v>
      </c>
      <c r="F47" s="23" t="s">
        <v>31</v>
      </c>
      <c r="H47" s="25" t="s">
        <v>390</v>
      </c>
      <c r="I47" s="25" t="s">
        <v>29</v>
      </c>
      <c r="J47" s="25" t="s">
        <v>87</v>
      </c>
      <c r="K47" s="25" t="s">
        <v>85</v>
      </c>
      <c r="L47" s="25" t="s">
        <v>235</v>
      </c>
      <c r="O47" t="b">
        <f>IF(Calcul_Filaire!$F$2="Constructeur",TRUE,Calcul_Filaire!$F$2=Source_Filaire!A47)</f>
        <v>1</v>
      </c>
      <c r="P47" t="b">
        <f>IF(Calcul_Filaire!$G$2="Mono/Bino",TRUE,Calcul_Filaire!$G$2=Source_Filaire!F47)</f>
        <v>1</v>
      </c>
      <c r="Q47" t="b">
        <f>IF(Calcul_Filaire!$H$2="Connectivité",TRUE,Calcul_Filaire!$H$2=Source_Filaire!I47)</f>
        <v>1</v>
      </c>
      <c r="R47" t="b">
        <f t="shared" si="0"/>
        <v>1</v>
      </c>
      <c r="T47">
        <f>IF(R47,ROWS($R$2:R47),"")</f>
        <v>46</v>
      </c>
      <c r="U47" s="1">
        <f>IFERROR(SMALL($T$2:$T$104,ROWS(T$2:$T47)),"")</f>
        <v>46</v>
      </c>
    </row>
    <row r="48" spans="1:21" x14ac:dyDescent="0.25">
      <c r="A48" s="4" t="s">
        <v>19</v>
      </c>
      <c r="B48" s="27" t="s">
        <v>343</v>
      </c>
      <c r="C48" s="5" t="s">
        <v>49</v>
      </c>
      <c r="D48" s="3" t="s">
        <v>379</v>
      </c>
      <c r="E48" s="28">
        <v>44</v>
      </c>
      <c r="F48" s="23" t="s">
        <v>30</v>
      </c>
      <c r="H48" s="25" t="s">
        <v>390</v>
      </c>
      <c r="I48" s="25" t="s">
        <v>29</v>
      </c>
      <c r="J48" s="25" t="s">
        <v>87</v>
      </c>
      <c r="K48" s="25" t="s">
        <v>84</v>
      </c>
      <c r="L48" s="22" t="s">
        <v>353</v>
      </c>
      <c r="O48" t="b">
        <f>IF(Calcul_Filaire!$F$2="Constructeur",TRUE,Calcul_Filaire!$F$2=Source_Filaire!A48)</f>
        <v>1</v>
      </c>
      <c r="P48" t="b">
        <f>IF(Calcul_Filaire!$G$2="Mono/Bino",TRUE,Calcul_Filaire!$G$2=Source_Filaire!F48)</f>
        <v>1</v>
      </c>
      <c r="Q48" t="b">
        <f>IF(Calcul_Filaire!$H$2="Connectivité",TRUE,Calcul_Filaire!$H$2=Source_Filaire!I48)</f>
        <v>1</v>
      </c>
      <c r="R48" t="b">
        <f t="shared" si="0"/>
        <v>1</v>
      </c>
      <c r="T48">
        <f>IF(R48,ROWS($R$2:R48),"")</f>
        <v>47</v>
      </c>
      <c r="U48" s="1">
        <f>IFERROR(SMALL($T$2:$T$104,ROWS(T$2:$T48)),"")</f>
        <v>47</v>
      </c>
    </row>
    <row r="49" spans="1:21" x14ac:dyDescent="0.25">
      <c r="A49" s="4" t="s">
        <v>19</v>
      </c>
      <c r="B49" s="27" t="s">
        <v>344</v>
      </c>
      <c r="C49" s="5" t="s">
        <v>49</v>
      </c>
      <c r="D49" s="3" t="s">
        <v>380</v>
      </c>
      <c r="E49" s="28">
        <v>44</v>
      </c>
      <c r="F49" s="23" t="s">
        <v>30</v>
      </c>
      <c r="H49" s="25" t="s">
        <v>390</v>
      </c>
      <c r="I49" s="25" t="s">
        <v>29</v>
      </c>
      <c r="J49" s="25" t="s">
        <v>87</v>
      </c>
      <c r="K49" s="25" t="s">
        <v>85</v>
      </c>
      <c r="L49" s="22" t="s">
        <v>353</v>
      </c>
      <c r="O49" t="b">
        <f>IF(Calcul_Filaire!$F$2="Constructeur",TRUE,Calcul_Filaire!$F$2=Source_Filaire!A49)</f>
        <v>1</v>
      </c>
      <c r="P49" t="b">
        <f>IF(Calcul_Filaire!$G$2="Mono/Bino",TRUE,Calcul_Filaire!$G$2=Source_Filaire!F49)</f>
        <v>1</v>
      </c>
      <c r="Q49" t="b">
        <f>IF(Calcul_Filaire!$H$2="Connectivité",TRUE,Calcul_Filaire!$H$2=Source_Filaire!I49)</f>
        <v>1</v>
      </c>
      <c r="R49" t="b">
        <f t="shared" si="0"/>
        <v>1</v>
      </c>
      <c r="T49">
        <f>IF(R49,ROWS($R$2:R49),"")</f>
        <v>48</v>
      </c>
      <c r="U49" s="1">
        <f>IFERROR(SMALL($T$2:$T$104,ROWS(T$2:$T49)),"")</f>
        <v>48</v>
      </c>
    </row>
    <row r="50" spans="1:21" x14ac:dyDescent="0.25">
      <c r="A50" s="4" t="s">
        <v>19</v>
      </c>
      <c r="B50" s="27" t="s">
        <v>345</v>
      </c>
      <c r="C50" s="5" t="s">
        <v>49</v>
      </c>
      <c r="D50" s="3" t="s">
        <v>381</v>
      </c>
      <c r="E50" s="28">
        <v>55</v>
      </c>
      <c r="F50" s="23" t="s">
        <v>30</v>
      </c>
      <c r="H50" s="25" t="s">
        <v>390</v>
      </c>
      <c r="I50" s="25" t="s">
        <v>29</v>
      </c>
      <c r="J50" s="25" t="s">
        <v>87</v>
      </c>
      <c r="K50" s="25" t="s">
        <v>84</v>
      </c>
      <c r="L50" s="25" t="s">
        <v>235</v>
      </c>
      <c r="O50" t="b">
        <f>IF(Calcul_Filaire!$F$2="Constructeur",TRUE,Calcul_Filaire!$F$2=Source_Filaire!A50)</f>
        <v>1</v>
      </c>
      <c r="P50" t="b">
        <f>IF(Calcul_Filaire!$G$2="Mono/Bino",TRUE,Calcul_Filaire!$G$2=Source_Filaire!F50)</f>
        <v>1</v>
      </c>
      <c r="Q50" t="b">
        <f>IF(Calcul_Filaire!$H$2="Connectivité",TRUE,Calcul_Filaire!$H$2=Source_Filaire!I50)</f>
        <v>1</v>
      </c>
      <c r="R50" t="b">
        <f t="shared" si="0"/>
        <v>1</v>
      </c>
      <c r="T50">
        <f>IF(R50,ROWS($R$2:R50),"")</f>
        <v>49</v>
      </c>
      <c r="U50" s="1">
        <f>IFERROR(SMALL($T$2:$T$104,ROWS(T$2:$T50)),"")</f>
        <v>49</v>
      </c>
    </row>
    <row r="51" spans="1:21" x14ac:dyDescent="0.25">
      <c r="A51" s="4" t="s">
        <v>19</v>
      </c>
      <c r="B51" s="27" t="s">
        <v>346</v>
      </c>
      <c r="C51" s="5" t="s">
        <v>49</v>
      </c>
      <c r="D51" s="3" t="s">
        <v>382</v>
      </c>
      <c r="E51" s="28">
        <v>59</v>
      </c>
      <c r="F51" s="23" t="s">
        <v>31</v>
      </c>
      <c r="H51" s="25" t="s">
        <v>390</v>
      </c>
      <c r="I51" s="25" t="s">
        <v>29</v>
      </c>
      <c r="J51" s="25" t="s">
        <v>87</v>
      </c>
      <c r="K51" s="25" t="s">
        <v>84</v>
      </c>
      <c r="L51" s="25" t="s">
        <v>235</v>
      </c>
      <c r="O51" t="b">
        <f>IF(Calcul_Filaire!$F$2="Constructeur",TRUE,Calcul_Filaire!$F$2=Source_Filaire!A51)</f>
        <v>1</v>
      </c>
      <c r="P51" t="b">
        <f>IF(Calcul_Filaire!$G$2="Mono/Bino",TRUE,Calcul_Filaire!$G$2=Source_Filaire!F51)</f>
        <v>1</v>
      </c>
      <c r="Q51" t="b">
        <f>IF(Calcul_Filaire!$H$2="Connectivité",TRUE,Calcul_Filaire!$H$2=Source_Filaire!I51)</f>
        <v>1</v>
      </c>
      <c r="R51" t="b">
        <f t="shared" si="0"/>
        <v>1</v>
      </c>
      <c r="T51">
        <f>IF(R51,ROWS($R$2:R51),"")</f>
        <v>50</v>
      </c>
      <c r="U51" s="1">
        <f>IFERROR(SMALL($T$2:$T$104,ROWS(T$2:$T51)),"")</f>
        <v>50</v>
      </c>
    </row>
    <row r="52" spans="1:21" x14ac:dyDescent="0.25">
      <c r="A52" s="4" t="s">
        <v>19</v>
      </c>
      <c r="B52" s="27" t="s">
        <v>347</v>
      </c>
      <c r="C52" s="5" t="s">
        <v>49</v>
      </c>
      <c r="D52" s="3" t="s">
        <v>383</v>
      </c>
      <c r="E52" s="28">
        <v>55</v>
      </c>
      <c r="F52" s="23" t="s">
        <v>30</v>
      </c>
      <c r="H52" s="25" t="s">
        <v>390</v>
      </c>
      <c r="I52" s="25" t="s">
        <v>29</v>
      </c>
      <c r="J52" s="25" t="s">
        <v>87</v>
      </c>
      <c r="K52" s="25" t="s">
        <v>85</v>
      </c>
      <c r="L52" s="25" t="s">
        <v>235</v>
      </c>
      <c r="O52" t="b">
        <f>IF(Calcul_Filaire!$F$2="Constructeur",TRUE,Calcul_Filaire!$F$2=Source_Filaire!A52)</f>
        <v>1</v>
      </c>
      <c r="P52" t="b">
        <f>IF(Calcul_Filaire!$G$2="Mono/Bino",TRUE,Calcul_Filaire!$G$2=Source_Filaire!F52)</f>
        <v>1</v>
      </c>
      <c r="Q52" t="b">
        <f>IF(Calcul_Filaire!$H$2="Connectivité",TRUE,Calcul_Filaire!$H$2=Source_Filaire!I52)</f>
        <v>1</v>
      </c>
      <c r="R52" t="b">
        <f t="shared" si="0"/>
        <v>1</v>
      </c>
      <c r="T52">
        <f>IF(R52,ROWS($R$2:R52),"")</f>
        <v>51</v>
      </c>
      <c r="U52" s="1">
        <f>IFERROR(SMALL($T$2:$T$104,ROWS(T$2:$T52)),"")</f>
        <v>51</v>
      </c>
    </row>
    <row r="53" spans="1:21" x14ac:dyDescent="0.25">
      <c r="A53" s="4" t="s">
        <v>19</v>
      </c>
      <c r="B53" s="27" t="s">
        <v>348</v>
      </c>
      <c r="C53" s="5" t="s">
        <v>49</v>
      </c>
      <c r="D53" s="3" t="s">
        <v>384</v>
      </c>
      <c r="E53" s="28">
        <v>59</v>
      </c>
      <c r="F53" s="23" t="s">
        <v>31</v>
      </c>
      <c r="H53" s="25" t="s">
        <v>390</v>
      </c>
      <c r="I53" s="25" t="s">
        <v>29</v>
      </c>
      <c r="J53" s="25" t="s">
        <v>87</v>
      </c>
      <c r="K53" s="25" t="s">
        <v>85</v>
      </c>
      <c r="L53" s="25" t="s">
        <v>235</v>
      </c>
      <c r="O53" t="b">
        <f>IF(Calcul_Filaire!$F$2="Constructeur",TRUE,Calcul_Filaire!$F$2=Source_Filaire!A53)</f>
        <v>1</v>
      </c>
      <c r="P53" t="b">
        <f>IF(Calcul_Filaire!$G$2="Mono/Bino",TRUE,Calcul_Filaire!$G$2=Source_Filaire!F53)</f>
        <v>1</v>
      </c>
      <c r="Q53" t="b">
        <f>IF(Calcul_Filaire!$H$2="Connectivité",TRUE,Calcul_Filaire!$H$2=Source_Filaire!I53)</f>
        <v>1</v>
      </c>
      <c r="R53" t="b">
        <f t="shared" si="0"/>
        <v>1</v>
      </c>
      <c r="T53">
        <f>IF(R53,ROWS($R$2:R53),"")</f>
        <v>52</v>
      </c>
      <c r="U53" s="1">
        <f>IFERROR(SMALL($T$2:$T$104,ROWS(T$2:$T53)),"")</f>
        <v>52</v>
      </c>
    </row>
    <row r="54" spans="1:21" x14ac:dyDescent="0.25">
      <c r="A54" s="4" t="s">
        <v>19</v>
      </c>
      <c r="B54" s="27" t="s">
        <v>349</v>
      </c>
      <c r="C54" s="5" t="s">
        <v>49</v>
      </c>
      <c r="D54" s="3" t="s">
        <v>385</v>
      </c>
      <c r="E54" s="28">
        <v>69</v>
      </c>
      <c r="F54" s="23" t="s">
        <v>30</v>
      </c>
      <c r="H54" s="25" t="s">
        <v>390</v>
      </c>
      <c r="I54" s="25" t="s">
        <v>29</v>
      </c>
      <c r="J54" s="25" t="s">
        <v>87</v>
      </c>
      <c r="K54" s="25" t="s">
        <v>84</v>
      </c>
      <c r="L54" s="25" t="s">
        <v>235</v>
      </c>
      <c r="O54" t="b">
        <f>IF(Calcul_Filaire!$F$2="Constructeur",TRUE,Calcul_Filaire!$F$2=Source_Filaire!A54)</f>
        <v>1</v>
      </c>
      <c r="P54" t="b">
        <f>IF(Calcul_Filaire!$G$2="Mono/Bino",TRUE,Calcul_Filaire!$G$2=Source_Filaire!F54)</f>
        <v>1</v>
      </c>
      <c r="Q54" t="b">
        <f>IF(Calcul_Filaire!$H$2="Connectivité",TRUE,Calcul_Filaire!$H$2=Source_Filaire!I54)</f>
        <v>1</v>
      </c>
      <c r="R54" t="b">
        <f t="shared" si="0"/>
        <v>1</v>
      </c>
      <c r="T54">
        <f>IF(R54,ROWS($R$2:R54),"")</f>
        <v>53</v>
      </c>
      <c r="U54" s="1">
        <f>IFERROR(SMALL($T$2:$T$104,ROWS(T$2:$T54)),"")</f>
        <v>53</v>
      </c>
    </row>
    <row r="55" spans="1:21" x14ac:dyDescent="0.25">
      <c r="A55" s="4" t="s">
        <v>19</v>
      </c>
      <c r="B55" s="27" t="s">
        <v>350</v>
      </c>
      <c r="C55" s="5" t="s">
        <v>49</v>
      </c>
      <c r="D55" s="3" t="s">
        <v>386</v>
      </c>
      <c r="E55" s="28">
        <v>79</v>
      </c>
      <c r="F55" s="23" t="s">
        <v>31</v>
      </c>
      <c r="H55" s="25" t="s">
        <v>390</v>
      </c>
      <c r="I55" s="25" t="s">
        <v>29</v>
      </c>
      <c r="J55" s="25" t="s">
        <v>87</v>
      </c>
      <c r="K55" s="25" t="s">
        <v>84</v>
      </c>
      <c r="L55" s="25" t="s">
        <v>235</v>
      </c>
      <c r="O55" t="b">
        <f>IF(Calcul_Filaire!$F$2="Constructeur",TRUE,Calcul_Filaire!$F$2=Source_Filaire!A55)</f>
        <v>1</v>
      </c>
      <c r="P55" t="b">
        <f>IF(Calcul_Filaire!$G$2="Mono/Bino",TRUE,Calcul_Filaire!$G$2=Source_Filaire!F55)</f>
        <v>1</v>
      </c>
      <c r="Q55" t="b">
        <f>IF(Calcul_Filaire!$H$2="Connectivité",TRUE,Calcul_Filaire!$H$2=Source_Filaire!I55)</f>
        <v>1</v>
      </c>
      <c r="R55" t="b">
        <f t="shared" si="0"/>
        <v>1</v>
      </c>
      <c r="T55">
        <f>IF(R55,ROWS($R$2:R55),"")</f>
        <v>54</v>
      </c>
      <c r="U55" s="1">
        <f>IFERROR(SMALL($T$2:$T$104,ROWS(T$2:$T55)),"")</f>
        <v>54</v>
      </c>
    </row>
    <row r="56" spans="1:21" x14ac:dyDescent="0.25">
      <c r="A56" s="4" t="s">
        <v>19</v>
      </c>
      <c r="B56" s="27" t="s">
        <v>351</v>
      </c>
      <c r="C56" s="5" t="s">
        <v>49</v>
      </c>
      <c r="D56" s="3" t="s">
        <v>387</v>
      </c>
      <c r="E56" s="28">
        <v>69</v>
      </c>
      <c r="F56" s="23" t="s">
        <v>30</v>
      </c>
      <c r="H56" s="25" t="s">
        <v>390</v>
      </c>
      <c r="I56" s="25" t="s">
        <v>29</v>
      </c>
      <c r="J56" s="25" t="s">
        <v>87</v>
      </c>
      <c r="K56" s="25" t="s">
        <v>85</v>
      </c>
      <c r="L56" s="25" t="s">
        <v>235</v>
      </c>
      <c r="O56" t="b">
        <f>IF(Calcul_Filaire!$F$2="Constructeur",TRUE,Calcul_Filaire!$F$2=Source_Filaire!A56)</f>
        <v>1</v>
      </c>
      <c r="P56" t="b">
        <f>IF(Calcul_Filaire!$G$2="Mono/Bino",TRUE,Calcul_Filaire!$G$2=Source_Filaire!F56)</f>
        <v>1</v>
      </c>
      <c r="Q56" t="b">
        <f>IF(Calcul_Filaire!$H$2="Connectivité",TRUE,Calcul_Filaire!$H$2=Source_Filaire!I56)</f>
        <v>1</v>
      </c>
      <c r="R56" t="b">
        <f t="shared" si="0"/>
        <v>1</v>
      </c>
      <c r="T56">
        <f>IF(R56,ROWS($R$2:R56),"")</f>
        <v>55</v>
      </c>
      <c r="U56" s="1">
        <f>IFERROR(SMALL($T$2:$T$104,ROWS(T$2:$T56)),"")</f>
        <v>55</v>
      </c>
    </row>
    <row r="57" spans="1:21" x14ac:dyDescent="0.25">
      <c r="A57" s="4" t="s">
        <v>19</v>
      </c>
      <c r="B57" s="27" t="s">
        <v>352</v>
      </c>
      <c r="C57" s="5" t="s">
        <v>49</v>
      </c>
      <c r="D57" s="3" t="s">
        <v>388</v>
      </c>
      <c r="E57" s="28">
        <v>79</v>
      </c>
      <c r="F57" s="23" t="s">
        <v>31</v>
      </c>
      <c r="H57" s="25" t="s">
        <v>390</v>
      </c>
      <c r="I57" s="25" t="s">
        <v>29</v>
      </c>
      <c r="J57" s="25" t="s">
        <v>87</v>
      </c>
      <c r="K57" s="25" t="s">
        <v>85</v>
      </c>
      <c r="L57" s="25" t="s">
        <v>235</v>
      </c>
      <c r="O57" t="b">
        <f>IF(Calcul_Filaire!$F$2="Constructeur",TRUE,Calcul_Filaire!$F$2=Source_Filaire!A57)</f>
        <v>1</v>
      </c>
      <c r="P57" t="b">
        <f>IF(Calcul_Filaire!$G$2="Mono/Bino",TRUE,Calcul_Filaire!$G$2=Source_Filaire!F57)</f>
        <v>1</v>
      </c>
      <c r="Q57" t="b">
        <f>IF(Calcul_Filaire!$H$2="Connectivité",TRUE,Calcul_Filaire!$H$2=Source_Filaire!I57)</f>
        <v>1</v>
      </c>
      <c r="R57" t="b">
        <f t="shared" si="0"/>
        <v>1</v>
      </c>
      <c r="T57">
        <f>IF(R57,ROWS($R$2:R57),"")</f>
        <v>56</v>
      </c>
      <c r="U57" s="1">
        <f>IFERROR(SMALL($T$2:$T$104,ROWS(T$2:$T57)),"")</f>
        <v>56</v>
      </c>
    </row>
    <row r="58" spans="1:21" x14ac:dyDescent="0.25">
      <c r="A58" s="4" t="s">
        <v>279</v>
      </c>
      <c r="B58" s="27" t="s">
        <v>396</v>
      </c>
      <c r="C58" s="5" t="s">
        <v>49</v>
      </c>
      <c r="D58" s="3" t="s">
        <v>418</v>
      </c>
      <c r="E58" s="28">
        <v>37.99</v>
      </c>
      <c r="F58" s="23" t="s">
        <v>30</v>
      </c>
      <c r="H58" s="5" t="s">
        <v>440</v>
      </c>
      <c r="I58" s="25" t="s">
        <v>29</v>
      </c>
      <c r="J58" s="25" t="s">
        <v>87</v>
      </c>
      <c r="K58" s="25" t="s">
        <v>84</v>
      </c>
      <c r="L58" s="25" t="s">
        <v>235</v>
      </c>
      <c r="O58" t="b">
        <f>IF(Calcul_Filaire!$F$2="Constructeur",TRUE,Calcul_Filaire!$F$2=Source_Filaire!A58)</f>
        <v>1</v>
      </c>
      <c r="P58" t="b">
        <f>IF(Calcul_Filaire!$G$2="Mono/Bino",TRUE,Calcul_Filaire!$G$2=Source_Filaire!F58)</f>
        <v>1</v>
      </c>
      <c r="Q58" t="b">
        <f>IF(Calcul_Filaire!$H$2="Connectivité",TRUE,Calcul_Filaire!$H$2=Source_Filaire!I58)</f>
        <v>1</v>
      </c>
      <c r="R58" t="b">
        <f t="shared" si="0"/>
        <v>1</v>
      </c>
      <c r="T58">
        <f>IF(R58,ROWS($R$2:R58),"")</f>
        <v>57</v>
      </c>
      <c r="U58" s="1">
        <f>IFERROR(SMALL($T$2:$T$104,ROWS(T$2:$T58)),"")</f>
        <v>57</v>
      </c>
    </row>
    <row r="59" spans="1:21" x14ac:dyDescent="0.25">
      <c r="A59" s="4" t="s">
        <v>279</v>
      </c>
      <c r="B59" s="27" t="s">
        <v>397</v>
      </c>
      <c r="C59" s="5" t="s">
        <v>49</v>
      </c>
      <c r="D59" s="3" t="s">
        <v>419</v>
      </c>
      <c r="E59" s="28">
        <v>34.99</v>
      </c>
      <c r="F59" s="23" t="s">
        <v>31</v>
      </c>
      <c r="H59" s="5" t="s">
        <v>440</v>
      </c>
      <c r="I59" s="25" t="s">
        <v>29</v>
      </c>
      <c r="J59" s="25" t="s">
        <v>87</v>
      </c>
      <c r="K59" s="25" t="s">
        <v>84</v>
      </c>
      <c r="L59" s="25" t="s">
        <v>235</v>
      </c>
      <c r="O59" t="b">
        <f>IF(Calcul_Filaire!$F$2="Constructeur",TRUE,Calcul_Filaire!$F$2=Source_Filaire!A59)</f>
        <v>1</v>
      </c>
      <c r="P59" t="b">
        <f>IF(Calcul_Filaire!$G$2="Mono/Bino",TRUE,Calcul_Filaire!$G$2=Source_Filaire!F59)</f>
        <v>1</v>
      </c>
      <c r="Q59" t="b">
        <f>IF(Calcul_Filaire!$H$2="Connectivité",TRUE,Calcul_Filaire!$H$2=Source_Filaire!I59)</f>
        <v>1</v>
      </c>
      <c r="R59" t="b">
        <f t="shared" si="0"/>
        <v>1</v>
      </c>
      <c r="T59">
        <f>IF(R59,ROWS($R$2:R59),"")</f>
        <v>58</v>
      </c>
      <c r="U59" s="1">
        <f>IFERROR(SMALL($T$2:$T$104,ROWS(T$2:$T59)),"")</f>
        <v>58</v>
      </c>
    </row>
    <row r="60" spans="1:21" x14ac:dyDescent="0.25">
      <c r="A60" s="4" t="s">
        <v>279</v>
      </c>
      <c r="B60" s="27" t="s">
        <v>398</v>
      </c>
      <c r="C60" s="5" t="s">
        <v>49</v>
      </c>
      <c r="D60" s="3" t="s">
        <v>420</v>
      </c>
      <c r="E60" s="28">
        <v>39.99</v>
      </c>
      <c r="F60" s="23" t="s">
        <v>30</v>
      </c>
      <c r="H60" s="5" t="s">
        <v>390</v>
      </c>
      <c r="I60" s="25" t="s">
        <v>29</v>
      </c>
      <c r="J60" s="25" t="s">
        <v>87</v>
      </c>
      <c r="K60" s="25" t="s">
        <v>84</v>
      </c>
      <c r="L60" s="25" t="s">
        <v>235</v>
      </c>
      <c r="O60" t="b">
        <f>IF(Calcul_Filaire!$F$2="Constructeur",TRUE,Calcul_Filaire!$F$2=Source_Filaire!A60)</f>
        <v>1</v>
      </c>
      <c r="P60" t="b">
        <f>IF(Calcul_Filaire!$G$2="Mono/Bino",TRUE,Calcul_Filaire!$G$2=Source_Filaire!F60)</f>
        <v>1</v>
      </c>
      <c r="Q60" t="b">
        <f>IF(Calcul_Filaire!$H$2="Connectivité",TRUE,Calcul_Filaire!$H$2=Source_Filaire!I60)</f>
        <v>1</v>
      </c>
      <c r="R60" t="b">
        <f t="shared" si="0"/>
        <v>1</v>
      </c>
      <c r="T60">
        <f>IF(R60,ROWS($R$2:R60),"")</f>
        <v>59</v>
      </c>
      <c r="U60" s="1">
        <f>IFERROR(SMALL($T$2:$T$104,ROWS(T$2:$T60)),"")</f>
        <v>59</v>
      </c>
    </row>
    <row r="61" spans="1:21" x14ac:dyDescent="0.25">
      <c r="A61" s="4" t="s">
        <v>279</v>
      </c>
      <c r="B61" s="27" t="s">
        <v>399</v>
      </c>
      <c r="C61" s="5" t="s">
        <v>49</v>
      </c>
      <c r="D61" s="3" t="s">
        <v>421</v>
      </c>
      <c r="E61" s="28">
        <v>39.99</v>
      </c>
      <c r="F61" s="23" t="s">
        <v>30</v>
      </c>
      <c r="H61" s="5" t="s">
        <v>390</v>
      </c>
      <c r="I61" s="25" t="s">
        <v>29</v>
      </c>
      <c r="J61" s="25" t="s">
        <v>87</v>
      </c>
      <c r="K61" s="25" t="s">
        <v>85</v>
      </c>
      <c r="L61" s="25" t="s">
        <v>235</v>
      </c>
      <c r="O61" t="b">
        <f>IF(Calcul_Filaire!$F$2="Constructeur",TRUE,Calcul_Filaire!$F$2=Source_Filaire!A61)</f>
        <v>1</v>
      </c>
      <c r="P61" t="b">
        <f>IF(Calcul_Filaire!$G$2="Mono/Bino",TRUE,Calcul_Filaire!$G$2=Source_Filaire!F61)</f>
        <v>1</v>
      </c>
      <c r="Q61" t="b">
        <f>IF(Calcul_Filaire!$H$2="Connectivité",TRUE,Calcul_Filaire!$H$2=Source_Filaire!I61)</f>
        <v>1</v>
      </c>
      <c r="R61" t="b">
        <f t="shared" si="0"/>
        <v>1</v>
      </c>
      <c r="T61">
        <f>IF(R61,ROWS($R$2:R61),"")</f>
        <v>60</v>
      </c>
      <c r="U61" s="1">
        <f>IFERROR(SMALL($T$2:$T$104,ROWS(T$2:$T61)),"")</f>
        <v>60</v>
      </c>
    </row>
    <row r="62" spans="1:21" x14ac:dyDescent="0.25">
      <c r="A62" s="4" t="s">
        <v>279</v>
      </c>
      <c r="B62" s="27" t="s">
        <v>400</v>
      </c>
      <c r="C62" s="5" t="s">
        <v>49</v>
      </c>
      <c r="D62" s="3" t="s">
        <v>422</v>
      </c>
      <c r="E62" s="28">
        <v>49.99</v>
      </c>
      <c r="F62" s="23" t="s">
        <v>31</v>
      </c>
      <c r="H62" s="5" t="s">
        <v>390</v>
      </c>
      <c r="I62" s="25" t="s">
        <v>29</v>
      </c>
      <c r="J62" s="25" t="s">
        <v>87</v>
      </c>
      <c r="K62" s="25" t="s">
        <v>84</v>
      </c>
      <c r="L62" s="25" t="s">
        <v>235</v>
      </c>
      <c r="O62" t="b">
        <f>IF(Calcul_Filaire!$F$2="Constructeur",TRUE,Calcul_Filaire!$F$2=Source_Filaire!A62)</f>
        <v>1</v>
      </c>
      <c r="P62" t="b">
        <f>IF(Calcul_Filaire!$G$2="Mono/Bino",TRUE,Calcul_Filaire!$G$2=Source_Filaire!F62)</f>
        <v>1</v>
      </c>
      <c r="Q62" t="b">
        <f>IF(Calcul_Filaire!$H$2="Connectivité",TRUE,Calcul_Filaire!$H$2=Source_Filaire!I62)</f>
        <v>1</v>
      </c>
      <c r="R62" t="b">
        <f t="shared" si="0"/>
        <v>1</v>
      </c>
      <c r="T62">
        <f>IF(R62,ROWS($R$2:R62),"")</f>
        <v>61</v>
      </c>
      <c r="U62" s="1">
        <f>IFERROR(SMALL($T$2:$T$104,ROWS(T$2:$T62)),"")</f>
        <v>61</v>
      </c>
    </row>
    <row r="63" spans="1:21" x14ac:dyDescent="0.25">
      <c r="A63" s="4" t="s">
        <v>279</v>
      </c>
      <c r="B63" s="27" t="s">
        <v>401</v>
      </c>
      <c r="C63" s="5" t="s">
        <v>49</v>
      </c>
      <c r="D63" s="3" t="s">
        <v>423</v>
      </c>
      <c r="E63" s="28">
        <v>49.99</v>
      </c>
      <c r="F63" s="23" t="s">
        <v>31</v>
      </c>
      <c r="H63" s="5" t="s">
        <v>390</v>
      </c>
      <c r="I63" s="25" t="s">
        <v>29</v>
      </c>
      <c r="J63" s="25" t="s">
        <v>87</v>
      </c>
      <c r="K63" s="25" t="s">
        <v>85</v>
      </c>
      <c r="L63" s="25" t="s">
        <v>235</v>
      </c>
      <c r="O63" t="b">
        <f>IF(Calcul_Filaire!$F$2="Constructeur",TRUE,Calcul_Filaire!$F$2=Source_Filaire!A63)</f>
        <v>1</v>
      </c>
      <c r="P63" t="b">
        <f>IF(Calcul_Filaire!$G$2="Mono/Bino",TRUE,Calcul_Filaire!$G$2=Source_Filaire!F63)</f>
        <v>1</v>
      </c>
      <c r="Q63" t="b">
        <f>IF(Calcul_Filaire!$H$2="Connectivité",TRUE,Calcul_Filaire!$H$2=Source_Filaire!I63)</f>
        <v>1</v>
      </c>
      <c r="R63" t="b">
        <f t="shared" si="0"/>
        <v>1</v>
      </c>
      <c r="T63">
        <f>IF(R63,ROWS($R$2:R63),"")</f>
        <v>62</v>
      </c>
      <c r="U63" s="1">
        <f>IFERROR(SMALL($T$2:$T$104,ROWS(T$2:$T63)),"")</f>
        <v>62</v>
      </c>
    </row>
    <row r="64" spans="1:21" x14ac:dyDescent="0.25">
      <c r="A64" s="4" t="s">
        <v>279</v>
      </c>
      <c r="B64" s="27" t="s">
        <v>402</v>
      </c>
      <c r="C64" s="5" t="s">
        <v>49</v>
      </c>
      <c r="D64" s="3" t="s">
        <v>424</v>
      </c>
      <c r="E64" s="28">
        <v>70</v>
      </c>
      <c r="F64" s="23" t="s">
        <v>30</v>
      </c>
      <c r="H64" s="5" t="s">
        <v>442</v>
      </c>
      <c r="I64" s="25" t="s">
        <v>29</v>
      </c>
      <c r="J64" s="25" t="s">
        <v>87</v>
      </c>
      <c r="K64" s="25" t="s">
        <v>84</v>
      </c>
      <c r="L64" s="25" t="s">
        <v>235</v>
      </c>
      <c r="O64" t="b">
        <f>IF(Calcul_Filaire!$F$2="Constructeur",TRUE,Calcul_Filaire!$F$2=Source_Filaire!A64)</f>
        <v>1</v>
      </c>
      <c r="P64" t="b">
        <f>IF(Calcul_Filaire!$G$2="Mono/Bino",TRUE,Calcul_Filaire!$G$2=Source_Filaire!F64)</f>
        <v>1</v>
      </c>
      <c r="Q64" t="b">
        <f>IF(Calcul_Filaire!$H$2="Connectivité",TRUE,Calcul_Filaire!$H$2=Source_Filaire!I64)</f>
        <v>1</v>
      </c>
      <c r="R64" t="b">
        <f t="shared" si="0"/>
        <v>1</v>
      </c>
      <c r="T64">
        <f>IF(R64,ROWS($R$2:R64),"")</f>
        <v>63</v>
      </c>
      <c r="U64" s="1">
        <f>IFERROR(SMALL($T$2:$T$104,ROWS(T$2:$T64)),"")</f>
        <v>63</v>
      </c>
    </row>
    <row r="65" spans="1:21" x14ac:dyDescent="0.25">
      <c r="A65" s="4" t="s">
        <v>279</v>
      </c>
      <c r="B65" s="27" t="s">
        <v>403</v>
      </c>
      <c r="C65" s="5" t="s">
        <v>49</v>
      </c>
      <c r="D65" s="3" t="s">
        <v>425</v>
      </c>
      <c r="E65" s="28">
        <v>70</v>
      </c>
      <c r="F65" s="23" t="s">
        <v>30</v>
      </c>
      <c r="H65" s="5" t="s">
        <v>442</v>
      </c>
      <c r="I65" s="25" t="s">
        <v>29</v>
      </c>
      <c r="J65" s="25" t="s">
        <v>87</v>
      </c>
      <c r="K65" s="25" t="s">
        <v>85</v>
      </c>
      <c r="L65" s="25" t="s">
        <v>235</v>
      </c>
      <c r="O65" t="b">
        <f>IF(Calcul_Filaire!$F$2="Constructeur",TRUE,Calcul_Filaire!$F$2=Source_Filaire!A65)</f>
        <v>1</v>
      </c>
      <c r="P65" t="b">
        <f>IF(Calcul_Filaire!$G$2="Mono/Bino",TRUE,Calcul_Filaire!$G$2=Source_Filaire!F65)</f>
        <v>1</v>
      </c>
      <c r="Q65" t="b">
        <f>IF(Calcul_Filaire!$H$2="Connectivité",TRUE,Calcul_Filaire!$H$2=Source_Filaire!I65)</f>
        <v>1</v>
      </c>
      <c r="R65" t="b">
        <f t="shared" si="0"/>
        <v>1</v>
      </c>
      <c r="T65">
        <f>IF(R65,ROWS($R$2:R65),"")</f>
        <v>64</v>
      </c>
      <c r="U65" s="1">
        <f>IFERROR(SMALL($T$2:$T$104,ROWS(T$2:$T65)),"")</f>
        <v>64</v>
      </c>
    </row>
    <row r="66" spans="1:21" x14ac:dyDescent="0.25">
      <c r="A66" s="4" t="s">
        <v>279</v>
      </c>
      <c r="B66" s="27" t="s">
        <v>404</v>
      </c>
      <c r="C66" s="5" t="s">
        <v>49</v>
      </c>
      <c r="D66" s="3" t="s">
        <v>426</v>
      </c>
      <c r="E66" s="28">
        <v>80</v>
      </c>
      <c r="F66" s="23" t="s">
        <v>31</v>
      </c>
      <c r="H66" s="5" t="s">
        <v>442</v>
      </c>
      <c r="I66" s="25" t="s">
        <v>29</v>
      </c>
      <c r="J66" s="25" t="s">
        <v>87</v>
      </c>
      <c r="K66" s="25" t="s">
        <v>84</v>
      </c>
      <c r="L66" s="25" t="s">
        <v>235</v>
      </c>
      <c r="O66" t="b">
        <f>IF(Calcul_Filaire!$F$2="Constructeur",TRUE,Calcul_Filaire!$F$2=Source_Filaire!A66)</f>
        <v>1</v>
      </c>
      <c r="P66" t="b">
        <f>IF(Calcul_Filaire!$G$2="Mono/Bino",TRUE,Calcul_Filaire!$G$2=Source_Filaire!F66)</f>
        <v>1</v>
      </c>
      <c r="Q66" t="b">
        <f>IF(Calcul_Filaire!$H$2="Connectivité",TRUE,Calcul_Filaire!$H$2=Source_Filaire!I66)</f>
        <v>1</v>
      </c>
      <c r="R66" t="b">
        <f t="shared" si="0"/>
        <v>1</v>
      </c>
      <c r="T66">
        <f>IF(R66,ROWS($R$2:R66),"")</f>
        <v>65</v>
      </c>
      <c r="U66" s="1">
        <f>IFERROR(SMALL($T$2:$T$104,ROWS(T$2:$T66)),"")</f>
        <v>65</v>
      </c>
    </row>
    <row r="67" spans="1:21" x14ac:dyDescent="0.25">
      <c r="A67" s="4" t="s">
        <v>279</v>
      </c>
      <c r="B67" s="27" t="s">
        <v>405</v>
      </c>
      <c r="C67" s="5" t="s">
        <v>49</v>
      </c>
      <c r="D67" s="3" t="s">
        <v>427</v>
      </c>
      <c r="E67" s="28">
        <v>80</v>
      </c>
      <c r="F67" s="23" t="s">
        <v>31</v>
      </c>
      <c r="H67" s="5" t="s">
        <v>442</v>
      </c>
      <c r="I67" s="25" t="s">
        <v>29</v>
      </c>
      <c r="J67" s="25" t="s">
        <v>87</v>
      </c>
      <c r="K67" s="25" t="s">
        <v>85</v>
      </c>
      <c r="L67" s="25" t="s">
        <v>235</v>
      </c>
      <c r="O67" t="b">
        <f>IF(Calcul_Filaire!$F$2="Constructeur",TRUE,Calcul_Filaire!$F$2=Source_Filaire!A67)</f>
        <v>1</v>
      </c>
      <c r="P67" t="b">
        <f>IF(Calcul_Filaire!$G$2="Mono/Bino",TRUE,Calcul_Filaire!$G$2=Source_Filaire!F67)</f>
        <v>1</v>
      </c>
      <c r="Q67" t="b">
        <f>IF(Calcul_Filaire!$H$2="Connectivité",TRUE,Calcul_Filaire!$H$2=Source_Filaire!I67)</f>
        <v>1</v>
      </c>
      <c r="R67" t="b">
        <f t="shared" ref="R67:R104" si="1">AND(O67:Q67)</f>
        <v>1</v>
      </c>
      <c r="T67">
        <f>IF(R67,ROWS($R$2:R67),"")</f>
        <v>66</v>
      </c>
      <c r="U67" s="1">
        <f>IFERROR(SMALL($T$2:$T$104,ROWS(T$2:$T67)),"")</f>
        <v>66</v>
      </c>
    </row>
    <row r="68" spans="1:21" ht="45" x14ac:dyDescent="0.25">
      <c r="A68" s="4" t="s">
        <v>279</v>
      </c>
      <c r="B68" s="27" t="s">
        <v>406</v>
      </c>
      <c r="C68" s="5" t="s">
        <v>49</v>
      </c>
      <c r="D68" s="3" t="s">
        <v>428</v>
      </c>
      <c r="E68" s="28">
        <v>69.989999999999995</v>
      </c>
      <c r="F68" s="23" t="s">
        <v>11</v>
      </c>
      <c r="H68" s="5" t="s">
        <v>390</v>
      </c>
      <c r="I68" s="25" t="s">
        <v>29</v>
      </c>
      <c r="J68" s="25" t="s">
        <v>87</v>
      </c>
      <c r="K68" s="25" t="s">
        <v>84</v>
      </c>
      <c r="L68" s="32" t="s">
        <v>477</v>
      </c>
      <c r="O68" t="b">
        <f>IF(Calcul_Filaire!$F$2="Constructeur",TRUE,Calcul_Filaire!$F$2=Source_Filaire!A68)</f>
        <v>1</v>
      </c>
      <c r="P68" t="b">
        <f>IF(Calcul_Filaire!$G$2="Mono/Bino",TRUE,Calcul_Filaire!$G$2=Source_Filaire!F68)</f>
        <v>1</v>
      </c>
      <c r="Q68" t="b">
        <f>IF(Calcul_Filaire!$H$2="Connectivité",TRUE,Calcul_Filaire!$H$2=Source_Filaire!I68)</f>
        <v>1</v>
      </c>
      <c r="R68" t="b">
        <f t="shared" si="1"/>
        <v>1</v>
      </c>
      <c r="T68">
        <f>IF(R68,ROWS($R$2:R68),"")</f>
        <v>67</v>
      </c>
      <c r="U68" s="1">
        <f>IFERROR(SMALL($T$2:$T$104,ROWS(T$2:$T68)),"")</f>
        <v>67</v>
      </c>
    </row>
    <row r="69" spans="1:21" ht="45" x14ac:dyDescent="0.25">
      <c r="A69" s="4" t="s">
        <v>279</v>
      </c>
      <c r="B69" s="27" t="s">
        <v>407</v>
      </c>
      <c r="C69" s="5" t="s">
        <v>49</v>
      </c>
      <c r="D69" s="3" t="s">
        <v>429</v>
      </c>
      <c r="E69" s="28">
        <v>69.989999999999995</v>
      </c>
      <c r="F69" s="23" t="s">
        <v>11</v>
      </c>
      <c r="H69" s="5" t="s">
        <v>390</v>
      </c>
      <c r="I69" s="25" t="s">
        <v>29</v>
      </c>
      <c r="J69" s="25" t="s">
        <v>87</v>
      </c>
      <c r="K69" s="25" t="s">
        <v>85</v>
      </c>
      <c r="L69" s="32" t="s">
        <v>477</v>
      </c>
      <c r="O69" t="b">
        <f>IF(Calcul_Filaire!$F$2="Constructeur",TRUE,Calcul_Filaire!$F$2=Source_Filaire!A69)</f>
        <v>1</v>
      </c>
      <c r="P69" t="b">
        <f>IF(Calcul_Filaire!$G$2="Mono/Bino",TRUE,Calcul_Filaire!$G$2=Source_Filaire!F69)</f>
        <v>1</v>
      </c>
      <c r="Q69" t="b">
        <f>IF(Calcul_Filaire!$H$2="Connectivité",TRUE,Calcul_Filaire!$H$2=Source_Filaire!I69)</f>
        <v>1</v>
      </c>
      <c r="R69" t="b">
        <f t="shared" si="1"/>
        <v>1</v>
      </c>
      <c r="T69">
        <f>IF(R69,ROWS($R$2:R69),"")</f>
        <v>68</v>
      </c>
      <c r="U69" s="1">
        <f>IFERROR(SMALL($T$2:$T$104,ROWS(T$2:$T69)),"")</f>
        <v>68</v>
      </c>
    </row>
    <row r="70" spans="1:21" x14ac:dyDescent="0.25">
      <c r="A70" s="4" t="s">
        <v>279</v>
      </c>
      <c r="B70" s="27" t="s">
        <v>408</v>
      </c>
      <c r="C70" s="5" t="s">
        <v>49</v>
      </c>
      <c r="D70" s="3" t="s">
        <v>430</v>
      </c>
      <c r="E70" s="28">
        <v>89.99</v>
      </c>
      <c r="F70" s="23" t="s">
        <v>30</v>
      </c>
      <c r="H70" s="5" t="s">
        <v>390</v>
      </c>
      <c r="I70" s="25" t="s">
        <v>29</v>
      </c>
      <c r="J70" s="25" t="s">
        <v>87</v>
      </c>
      <c r="K70" s="25" t="s">
        <v>84</v>
      </c>
      <c r="L70" s="25" t="s">
        <v>235</v>
      </c>
      <c r="O70" t="b">
        <f>IF(Calcul_Filaire!$F$2="Constructeur",TRUE,Calcul_Filaire!$F$2=Source_Filaire!A70)</f>
        <v>1</v>
      </c>
      <c r="P70" t="b">
        <f>IF(Calcul_Filaire!$G$2="Mono/Bino",TRUE,Calcul_Filaire!$G$2=Source_Filaire!F70)</f>
        <v>1</v>
      </c>
      <c r="Q70" t="b">
        <f>IF(Calcul_Filaire!$H$2="Connectivité",TRUE,Calcul_Filaire!$H$2=Source_Filaire!I70)</f>
        <v>1</v>
      </c>
      <c r="R70" t="b">
        <f t="shared" si="1"/>
        <v>1</v>
      </c>
      <c r="T70">
        <f>IF(R70,ROWS($R$2:R70),"")</f>
        <v>69</v>
      </c>
      <c r="U70" s="1">
        <f>IFERROR(SMALL($T$2:$T$104,ROWS(T$2:$T70)),"")</f>
        <v>69</v>
      </c>
    </row>
    <row r="71" spans="1:21" x14ac:dyDescent="0.25">
      <c r="A71" s="4" t="s">
        <v>279</v>
      </c>
      <c r="B71" s="27" t="s">
        <v>409</v>
      </c>
      <c r="C71" s="5" t="s">
        <v>49</v>
      </c>
      <c r="D71" s="3" t="s">
        <v>431</v>
      </c>
      <c r="E71" s="28">
        <v>89.99</v>
      </c>
      <c r="F71" s="23" t="s">
        <v>30</v>
      </c>
      <c r="H71" s="5" t="s">
        <v>390</v>
      </c>
      <c r="I71" s="25" t="s">
        <v>29</v>
      </c>
      <c r="J71" s="25" t="s">
        <v>87</v>
      </c>
      <c r="K71" s="25" t="s">
        <v>85</v>
      </c>
      <c r="L71" s="25" t="s">
        <v>235</v>
      </c>
      <c r="O71" t="b">
        <f>IF(Calcul_Filaire!$F$2="Constructeur",TRUE,Calcul_Filaire!$F$2=Source_Filaire!A71)</f>
        <v>1</v>
      </c>
      <c r="P71" t="b">
        <f>IF(Calcul_Filaire!$G$2="Mono/Bino",TRUE,Calcul_Filaire!$G$2=Source_Filaire!F71)</f>
        <v>1</v>
      </c>
      <c r="Q71" t="b">
        <f>IF(Calcul_Filaire!$H$2="Connectivité",TRUE,Calcul_Filaire!$H$2=Source_Filaire!I71)</f>
        <v>1</v>
      </c>
      <c r="R71" t="b">
        <f t="shared" si="1"/>
        <v>1</v>
      </c>
      <c r="T71">
        <f>IF(R71,ROWS($R$2:R71),"")</f>
        <v>70</v>
      </c>
      <c r="U71" s="1">
        <f>IFERROR(SMALL($T$2:$T$104,ROWS(T$2:$T71)),"")</f>
        <v>70</v>
      </c>
    </row>
    <row r="72" spans="1:21" x14ac:dyDescent="0.25">
      <c r="A72" s="4" t="s">
        <v>279</v>
      </c>
      <c r="B72" s="27" t="s">
        <v>410</v>
      </c>
      <c r="C72" s="5" t="s">
        <v>49</v>
      </c>
      <c r="D72" s="3" t="s">
        <v>432</v>
      </c>
      <c r="E72" s="28">
        <v>99.99</v>
      </c>
      <c r="F72" s="23" t="s">
        <v>31</v>
      </c>
      <c r="H72" s="5" t="s">
        <v>390</v>
      </c>
      <c r="I72" s="25" t="s">
        <v>29</v>
      </c>
      <c r="J72" s="25" t="s">
        <v>87</v>
      </c>
      <c r="K72" s="25" t="s">
        <v>84</v>
      </c>
      <c r="L72" s="25" t="s">
        <v>235</v>
      </c>
      <c r="O72" t="b">
        <f>IF(Calcul_Filaire!$F$2="Constructeur",TRUE,Calcul_Filaire!$F$2=Source_Filaire!A72)</f>
        <v>1</v>
      </c>
      <c r="P72" t="b">
        <f>IF(Calcul_Filaire!$G$2="Mono/Bino",TRUE,Calcul_Filaire!$G$2=Source_Filaire!F72)</f>
        <v>1</v>
      </c>
      <c r="Q72" t="b">
        <f>IF(Calcul_Filaire!$H$2="Connectivité",TRUE,Calcul_Filaire!$H$2=Source_Filaire!I72)</f>
        <v>1</v>
      </c>
      <c r="R72" t="b">
        <f t="shared" si="1"/>
        <v>1</v>
      </c>
      <c r="T72">
        <f>IF(R72,ROWS($R$2:R72),"")</f>
        <v>71</v>
      </c>
      <c r="U72" s="1">
        <f>IFERROR(SMALL($T$2:$T$104,ROWS(T$2:$T72)),"")</f>
        <v>71</v>
      </c>
    </row>
    <row r="73" spans="1:21" x14ac:dyDescent="0.25">
      <c r="A73" s="4" t="s">
        <v>279</v>
      </c>
      <c r="B73" s="27" t="s">
        <v>411</v>
      </c>
      <c r="C73" s="5" t="s">
        <v>49</v>
      </c>
      <c r="D73" s="3" t="s">
        <v>433</v>
      </c>
      <c r="E73" s="28">
        <v>99.99</v>
      </c>
      <c r="F73" s="23" t="s">
        <v>31</v>
      </c>
      <c r="H73" s="5" t="s">
        <v>390</v>
      </c>
      <c r="I73" s="25" t="s">
        <v>29</v>
      </c>
      <c r="J73" s="25" t="s">
        <v>87</v>
      </c>
      <c r="K73" s="25" t="s">
        <v>85</v>
      </c>
      <c r="L73" s="25" t="s">
        <v>235</v>
      </c>
      <c r="O73" t="b">
        <f>IF(Calcul_Filaire!$F$2="Constructeur",TRUE,Calcul_Filaire!$F$2=Source_Filaire!A73)</f>
        <v>1</v>
      </c>
      <c r="P73" t="b">
        <f>IF(Calcul_Filaire!$G$2="Mono/Bino",TRUE,Calcul_Filaire!$G$2=Source_Filaire!F73)</f>
        <v>1</v>
      </c>
      <c r="Q73" t="b">
        <f>IF(Calcul_Filaire!$H$2="Connectivité",TRUE,Calcul_Filaire!$H$2=Source_Filaire!I73)</f>
        <v>1</v>
      </c>
      <c r="R73" t="b">
        <f t="shared" si="1"/>
        <v>1</v>
      </c>
      <c r="T73">
        <f>IF(R73,ROWS($R$2:R73),"")</f>
        <v>72</v>
      </c>
      <c r="U73" s="1">
        <f>IFERROR(SMALL($T$2:$T$104,ROWS(T$2:$T73)),"")</f>
        <v>72</v>
      </c>
    </row>
    <row r="74" spans="1:21" x14ac:dyDescent="0.25">
      <c r="A74" s="4" t="s">
        <v>279</v>
      </c>
      <c r="B74" s="27" t="s">
        <v>412</v>
      </c>
      <c r="C74" s="5" t="s">
        <v>49</v>
      </c>
      <c r="D74" s="3" t="s">
        <v>434</v>
      </c>
      <c r="E74" s="28">
        <v>139</v>
      </c>
      <c r="F74" s="23" t="s">
        <v>30</v>
      </c>
      <c r="H74" s="5" t="s">
        <v>441</v>
      </c>
      <c r="I74" s="25" t="s">
        <v>29</v>
      </c>
      <c r="J74" s="25" t="s">
        <v>87</v>
      </c>
      <c r="K74" s="25" t="s">
        <v>84</v>
      </c>
      <c r="L74" s="25" t="s">
        <v>235</v>
      </c>
      <c r="O74" t="b">
        <f>IF(Calcul_Filaire!$F$2="Constructeur",TRUE,Calcul_Filaire!$F$2=Source_Filaire!A74)</f>
        <v>1</v>
      </c>
      <c r="P74" t="b">
        <f>IF(Calcul_Filaire!$G$2="Mono/Bino",TRUE,Calcul_Filaire!$G$2=Source_Filaire!F74)</f>
        <v>1</v>
      </c>
      <c r="Q74" t="b">
        <f>IF(Calcul_Filaire!$H$2="Connectivité",TRUE,Calcul_Filaire!$H$2=Source_Filaire!I74)</f>
        <v>1</v>
      </c>
      <c r="R74" t="b">
        <f t="shared" si="1"/>
        <v>1</v>
      </c>
      <c r="T74">
        <f>IF(R74,ROWS($R$2:R74),"")</f>
        <v>73</v>
      </c>
      <c r="U74" s="1">
        <f>IFERROR(SMALL($T$2:$T$104,ROWS(T$2:$T74)),"")</f>
        <v>73</v>
      </c>
    </row>
    <row r="75" spans="1:21" x14ac:dyDescent="0.25">
      <c r="A75" s="4" t="s">
        <v>279</v>
      </c>
      <c r="B75" s="27" t="s">
        <v>413</v>
      </c>
      <c r="C75" s="5" t="s">
        <v>49</v>
      </c>
      <c r="D75" s="3" t="s">
        <v>435</v>
      </c>
      <c r="E75" s="28">
        <v>139</v>
      </c>
      <c r="F75" s="23" t="s">
        <v>30</v>
      </c>
      <c r="H75" s="5" t="s">
        <v>441</v>
      </c>
      <c r="I75" s="25" t="s">
        <v>29</v>
      </c>
      <c r="J75" s="25" t="s">
        <v>87</v>
      </c>
      <c r="K75" s="25" t="s">
        <v>85</v>
      </c>
      <c r="L75" s="25" t="s">
        <v>235</v>
      </c>
      <c r="O75" t="b">
        <f>IF(Calcul_Filaire!$F$2="Constructeur",TRUE,Calcul_Filaire!$F$2=Source_Filaire!A75)</f>
        <v>1</v>
      </c>
      <c r="P75" t="b">
        <f>IF(Calcul_Filaire!$G$2="Mono/Bino",TRUE,Calcul_Filaire!$G$2=Source_Filaire!F75)</f>
        <v>1</v>
      </c>
      <c r="Q75" t="b">
        <f>IF(Calcul_Filaire!$H$2="Connectivité",TRUE,Calcul_Filaire!$H$2=Source_Filaire!I75)</f>
        <v>1</v>
      </c>
      <c r="R75" t="b">
        <f t="shared" si="1"/>
        <v>1</v>
      </c>
      <c r="T75">
        <f>IF(R75,ROWS($R$2:R75),"")</f>
        <v>74</v>
      </c>
      <c r="U75" s="1">
        <f>IFERROR(SMALL($T$2:$T$104,ROWS(T$2:$T75)),"")</f>
        <v>74</v>
      </c>
    </row>
    <row r="76" spans="1:21" x14ac:dyDescent="0.25">
      <c r="A76" s="4" t="s">
        <v>279</v>
      </c>
      <c r="B76" s="27" t="s">
        <v>414</v>
      </c>
      <c r="C76" s="5" t="s">
        <v>49</v>
      </c>
      <c r="D76" s="3" t="s">
        <v>436</v>
      </c>
      <c r="E76" s="28">
        <v>149</v>
      </c>
      <c r="F76" s="23" t="s">
        <v>31</v>
      </c>
      <c r="H76" s="5" t="s">
        <v>441</v>
      </c>
      <c r="I76" s="25" t="s">
        <v>29</v>
      </c>
      <c r="J76" s="25" t="s">
        <v>87</v>
      </c>
      <c r="K76" s="25" t="s">
        <v>84</v>
      </c>
      <c r="L76" s="25" t="s">
        <v>235</v>
      </c>
      <c r="O76" t="b">
        <f>IF(Calcul_Filaire!$F$2="Constructeur",TRUE,Calcul_Filaire!$F$2=Source_Filaire!A76)</f>
        <v>1</v>
      </c>
      <c r="P76" t="b">
        <f>IF(Calcul_Filaire!$G$2="Mono/Bino",TRUE,Calcul_Filaire!$G$2=Source_Filaire!F76)</f>
        <v>1</v>
      </c>
      <c r="Q76" t="b">
        <f>IF(Calcul_Filaire!$H$2="Connectivité",TRUE,Calcul_Filaire!$H$2=Source_Filaire!I76)</f>
        <v>1</v>
      </c>
      <c r="R76" t="b">
        <f t="shared" si="1"/>
        <v>1</v>
      </c>
      <c r="T76">
        <f>IF(R76,ROWS($R$2:R76),"")</f>
        <v>75</v>
      </c>
      <c r="U76" s="1">
        <f>IFERROR(SMALL($T$2:$T$104,ROWS(T$2:$T76)),"")</f>
        <v>75</v>
      </c>
    </row>
    <row r="77" spans="1:21" x14ac:dyDescent="0.25">
      <c r="A77" s="4" t="s">
        <v>279</v>
      </c>
      <c r="B77" s="27" t="s">
        <v>415</v>
      </c>
      <c r="C77" s="5" t="s">
        <v>49</v>
      </c>
      <c r="D77" s="3" t="s">
        <v>437</v>
      </c>
      <c r="E77" s="28">
        <v>149</v>
      </c>
      <c r="F77" s="23" t="s">
        <v>31</v>
      </c>
      <c r="H77" s="5" t="s">
        <v>441</v>
      </c>
      <c r="I77" s="25" t="s">
        <v>29</v>
      </c>
      <c r="J77" s="25" t="s">
        <v>87</v>
      </c>
      <c r="K77" s="25" t="s">
        <v>85</v>
      </c>
      <c r="L77" s="25" t="s">
        <v>235</v>
      </c>
      <c r="O77" t="b">
        <f>IF(Calcul_Filaire!$F$2="Constructeur",TRUE,Calcul_Filaire!$F$2=Source_Filaire!A77)</f>
        <v>1</v>
      </c>
      <c r="P77" t="b">
        <f>IF(Calcul_Filaire!$G$2="Mono/Bino",TRUE,Calcul_Filaire!$G$2=Source_Filaire!F77)</f>
        <v>1</v>
      </c>
      <c r="Q77" t="b">
        <f>IF(Calcul_Filaire!$H$2="Connectivité",TRUE,Calcul_Filaire!$H$2=Source_Filaire!I77)</f>
        <v>1</v>
      </c>
      <c r="R77" t="b">
        <f t="shared" si="1"/>
        <v>1</v>
      </c>
      <c r="T77">
        <f>IF(R77,ROWS($R$2:R77),"")</f>
        <v>76</v>
      </c>
      <c r="U77" s="1">
        <f>IFERROR(SMALL($T$2:$T$104,ROWS(T$2:$T77)),"")</f>
        <v>76</v>
      </c>
    </row>
    <row r="78" spans="1:21" x14ac:dyDescent="0.25">
      <c r="A78" s="4" t="s">
        <v>279</v>
      </c>
      <c r="B78" s="27" t="s">
        <v>416</v>
      </c>
      <c r="C78" s="5" t="s">
        <v>49</v>
      </c>
      <c r="D78" s="3" t="s">
        <v>438</v>
      </c>
      <c r="E78" s="28">
        <v>179</v>
      </c>
      <c r="F78" s="23" t="s">
        <v>31</v>
      </c>
      <c r="H78" s="5" t="s">
        <v>390</v>
      </c>
      <c r="I78" s="25" t="s">
        <v>29</v>
      </c>
      <c r="J78" s="25" t="s">
        <v>87</v>
      </c>
      <c r="K78" s="25" t="s">
        <v>84</v>
      </c>
      <c r="L78" s="25" t="s">
        <v>235</v>
      </c>
      <c r="O78" t="b">
        <f>IF(Calcul_Filaire!$F$2="Constructeur",TRUE,Calcul_Filaire!$F$2=Source_Filaire!A78)</f>
        <v>1</v>
      </c>
      <c r="P78" t="b">
        <f>IF(Calcul_Filaire!$G$2="Mono/Bino",TRUE,Calcul_Filaire!$G$2=Source_Filaire!F78)</f>
        <v>1</v>
      </c>
      <c r="Q78" t="b">
        <f>IF(Calcul_Filaire!$H$2="Connectivité",TRUE,Calcul_Filaire!$H$2=Source_Filaire!I78)</f>
        <v>1</v>
      </c>
      <c r="R78" t="b">
        <f t="shared" si="1"/>
        <v>1</v>
      </c>
      <c r="T78">
        <f>IF(R78,ROWS($R$2:R78),"")</f>
        <v>77</v>
      </c>
      <c r="U78" s="1">
        <f>IFERROR(SMALL($T$2:$T$104,ROWS(T$2:$T78)),"")</f>
        <v>77</v>
      </c>
    </row>
    <row r="79" spans="1:21" x14ac:dyDescent="0.25">
      <c r="A79" s="4" t="s">
        <v>279</v>
      </c>
      <c r="B79" s="27" t="s">
        <v>417</v>
      </c>
      <c r="C79" s="5" t="s">
        <v>49</v>
      </c>
      <c r="D79" s="3" t="s">
        <v>439</v>
      </c>
      <c r="E79" s="28">
        <v>179</v>
      </c>
      <c r="F79" s="23" t="s">
        <v>31</v>
      </c>
      <c r="H79" s="5" t="s">
        <v>390</v>
      </c>
      <c r="I79" s="25" t="s">
        <v>29</v>
      </c>
      <c r="J79" s="25" t="s">
        <v>87</v>
      </c>
      <c r="K79" s="25" t="s">
        <v>85</v>
      </c>
      <c r="L79" s="25" t="s">
        <v>235</v>
      </c>
      <c r="O79" t="b">
        <f>IF(Calcul_Filaire!$F$2="Constructeur",TRUE,Calcul_Filaire!$F$2=Source_Filaire!A79)</f>
        <v>1</v>
      </c>
      <c r="P79" t="b">
        <f>IF(Calcul_Filaire!$G$2="Mono/Bino",TRUE,Calcul_Filaire!$G$2=Source_Filaire!F79)</f>
        <v>1</v>
      </c>
      <c r="Q79" t="b">
        <f>IF(Calcul_Filaire!$H$2="Connectivité",TRUE,Calcul_Filaire!$H$2=Source_Filaire!I79)</f>
        <v>1</v>
      </c>
      <c r="R79" t="b">
        <f t="shared" si="1"/>
        <v>1</v>
      </c>
      <c r="T79">
        <f>IF(R79,ROWS($R$2:R79),"")</f>
        <v>78</v>
      </c>
      <c r="U79" s="1">
        <f>IFERROR(SMALL($T$2:$T$104,ROWS(T$2:$T79)),"")</f>
        <v>78</v>
      </c>
    </row>
    <row r="80" spans="1:21" x14ac:dyDescent="0.25">
      <c r="A80" s="4" t="s">
        <v>55</v>
      </c>
      <c r="B80" s="27" t="s">
        <v>443</v>
      </c>
      <c r="C80" s="5" t="s">
        <v>49</v>
      </c>
      <c r="D80" s="3">
        <v>504554</v>
      </c>
      <c r="E80" s="28">
        <v>189</v>
      </c>
      <c r="F80" s="23" t="s">
        <v>30</v>
      </c>
      <c r="G80" s="1" t="s">
        <v>464</v>
      </c>
      <c r="H80" s="5" t="s">
        <v>390</v>
      </c>
      <c r="I80" s="25" t="s">
        <v>29</v>
      </c>
      <c r="J80" s="25" t="s">
        <v>277</v>
      </c>
      <c r="K80" s="25" t="s">
        <v>84</v>
      </c>
      <c r="L80" s="25" t="s">
        <v>235</v>
      </c>
      <c r="O80" t="b">
        <f>IF(Calcul_Filaire!$F$2="Constructeur",TRUE,Calcul_Filaire!$F$2=Source_Filaire!A80)</f>
        <v>1</v>
      </c>
      <c r="P80" t="b">
        <f>IF(Calcul_Filaire!$G$2="Mono/Bino",TRUE,Calcul_Filaire!$G$2=Source_Filaire!F80)</f>
        <v>1</v>
      </c>
      <c r="Q80" t="b">
        <f>IF(Calcul_Filaire!$H$2="Connectivité",TRUE,Calcul_Filaire!$H$2=Source_Filaire!I80)</f>
        <v>1</v>
      </c>
      <c r="R80" t="b">
        <f t="shared" si="1"/>
        <v>1</v>
      </c>
      <c r="T80">
        <f>IF(R80,ROWS($R$2:R80),"")</f>
        <v>79</v>
      </c>
      <c r="U80" s="1">
        <f>IFERROR(SMALL($T$2:$T$104,ROWS(T$2:$T80)),"")</f>
        <v>79</v>
      </c>
    </row>
    <row r="81" spans="1:21" x14ac:dyDescent="0.25">
      <c r="A81" s="4" t="s">
        <v>55</v>
      </c>
      <c r="B81" s="27" t="s">
        <v>444</v>
      </c>
      <c r="C81" s="5" t="s">
        <v>49</v>
      </c>
      <c r="D81" s="3">
        <v>504552</v>
      </c>
      <c r="E81" s="28">
        <v>189</v>
      </c>
      <c r="F81" s="23" t="s">
        <v>30</v>
      </c>
      <c r="G81" s="1" t="s">
        <v>464</v>
      </c>
      <c r="H81" s="5" t="s">
        <v>390</v>
      </c>
      <c r="I81" s="25" t="s">
        <v>29</v>
      </c>
      <c r="J81" s="25" t="s">
        <v>277</v>
      </c>
      <c r="K81" s="25" t="s">
        <v>85</v>
      </c>
      <c r="L81" s="25" t="s">
        <v>235</v>
      </c>
      <c r="O81" t="b">
        <f>IF(Calcul_Filaire!$F$2="Constructeur",TRUE,Calcul_Filaire!$F$2=Source_Filaire!A81)</f>
        <v>1</v>
      </c>
      <c r="P81" t="b">
        <f>IF(Calcul_Filaire!$G$2="Mono/Bino",TRUE,Calcul_Filaire!$G$2=Source_Filaire!F81)</f>
        <v>1</v>
      </c>
      <c r="Q81" t="b">
        <f>IF(Calcul_Filaire!$H$2="Connectivité",TRUE,Calcul_Filaire!$H$2=Source_Filaire!I81)</f>
        <v>1</v>
      </c>
      <c r="R81" t="b">
        <f t="shared" si="1"/>
        <v>1</v>
      </c>
      <c r="T81">
        <f>IF(R81,ROWS($R$2:R81),"")</f>
        <v>80</v>
      </c>
      <c r="U81" s="1">
        <f>IFERROR(SMALL($T$2:$T$104,ROWS(T$2:$T81)),"")</f>
        <v>80</v>
      </c>
    </row>
    <row r="82" spans="1:21" x14ac:dyDescent="0.25">
      <c r="A82" s="4" t="s">
        <v>55</v>
      </c>
      <c r="B82" s="27" t="s">
        <v>445</v>
      </c>
      <c r="C82" s="5" t="s">
        <v>49</v>
      </c>
      <c r="D82" s="3">
        <v>504555</v>
      </c>
      <c r="E82" s="28">
        <v>219</v>
      </c>
      <c r="F82" s="23" t="s">
        <v>31</v>
      </c>
      <c r="G82" s="1" t="s">
        <v>313</v>
      </c>
      <c r="H82" s="5" t="s">
        <v>390</v>
      </c>
      <c r="I82" s="25" t="s">
        <v>29</v>
      </c>
      <c r="J82" s="25" t="s">
        <v>277</v>
      </c>
      <c r="K82" s="25" t="s">
        <v>84</v>
      </c>
      <c r="L82" s="25" t="s">
        <v>235</v>
      </c>
      <c r="O82" t="b">
        <f>IF(Calcul_Filaire!$F$2="Constructeur",TRUE,Calcul_Filaire!$F$2=Source_Filaire!A82)</f>
        <v>1</v>
      </c>
      <c r="P82" t="b">
        <f>IF(Calcul_Filaire!$G$2="Mono/Bino",TRUE,Calcul_Filaire!$G$2=Source_Filaire!F82)</f>
        <v>1</v>
      </c>
      <c r="Q82" t="b">
        <f>IF(Calcul_Filaire!$H$2="Connectivité",TRUE,Calcul_Filaire!$H$2=Source_Filaire!I82)</f>
        <v>1</v>
      </c>
      <c r="R82" t="b">
        <f t="shared" si="1"/>
        <v>1</v>
      </c>
      <c r="T82">
        <f>IF(R82,ROWS($R$2:R82),"")</f>
        <v>81</v>
      </c>
      <c r="U82" s="1">
        <f>IFERROR(SMALL($T$2:$T$104,ROWS(T$2:$T82)),"")</f>
        <v>81</v>
      </c>
    </row>
    <row r="83" spans="1:21" x14ac:dyDescent="0.25">
      <c r="A83" s="4" t="s">
        <v>55</v>
      </c>
      <c r="B83" s="27" t="s">
        <v>446</v>
      </c>
      <c r="C83" s="5" t="s">
        <v>49</v>
      </c>
      <c r="D83" s="3">
        <v>504553</v>
      </c>
      <c r="E83" s="28">
        <v>219</v>
      </c>
      <c r="F83" s="23" t="s">
        <v>31</v>
      </c>
      <c r="G83" s="1" t="s">
        <v>313</v>
      </c>
      <c r="H83" s="5" t="s">
        <v>390</v>
      </c>
      <c r="I83" s="25" t="s">
        <v>29</v>
      </c>
      <c r="J83" s="25" t="s">
        <v>277</v>
      </c>
      <c r="K83" s="25" t="s">
        <v>85</v>
      </c>
      <c r="L83" s="25" t="s">
        <v>235</v>
      </c>
      <c r="O83" t="b">
        <f>IF(Calcul_Filaire!$F$2="Constructeur",TRUE,Calcul_Filaire!$F$2=Source_Filaire!A83)</f>
        <v>1</v>
      </c>
      <c r="P83" t="b">
        <f>IF(Calcul_Filaire!$G$2="Mono/Bino",TRUE,Calcul_Filaire!$G$2=Source_Filaire!F83)</f>
        <v>1</v>
      </c>
      <c r="Q83" t="b">
        <f>IF(Calcul_Filaire!$H$2="Connectivité",TRUE,Calcul_Filaire!$H$2=Source_Filaire!I83)</f>
        <v>1</v>
      </c>
      <c r="R83" t="b">
        <f t="shared" si="1"/>
        <v>1</v>
      </c>
      <c r="T83">
        <f>IF(R83,ROWS($R$2:R83),"")</f>
        <v>82</v>
      </c>
      <c r="U83" s="1">
        <f>IFERROR(SMALL($T$2:$T$104,ROWS(T$2:$T83)),"")</f>
        <v>82</v>
      </c>
    </row>
    <row r="84" spans="1:21" x14ac:dyDescent="0.25">
      <c r="A84" s="4" t="s">
        <v>55</v>
      </c>
      <c r="B84" s="27" t="s">
        <v>447</v>
      </c>
      <c r="C84" s="5" t="s">
        <v>49</v>
      </c>
      <c r="D84" s="3">
        <v>504403</v>
      </c>
      <c r="E84" s="28">
        <v>105</v>
      </c>
      <c r="F84" s="23" t="s">
        <v>30</v>
      </c>
      <c r="G84" s="1" t="s">
        <v>314</v>
      </c>
      <c r="H84" s="5" t="s">
        <v>390</v>
      </c>
      <c r="I84" s="25" t="s">
        <v>29</v>
      </c>
      <c r="J84" s="25" t="s">
        <v>87</v>
      </c>
      <c r="K84" s="25" t="s">
        <v>84</v>
      </c>
      <c r="L84" s="25" t="s">
        <v>235</v>
      </c>
      <c r="O84" t="b">
        <f>IF(Calcul_Filaire!$F$2="Constructeur",TRUE,Calcul_Filaire!$F$2=Source_Filaire!A84)</f>
        <v>1</v>
      </c>
      <c r="P84" t="b">
        <f>IF(Calcul_Filaire!$G$2="Mono/Bino",TRUE,Calcul_Filaire!$G$2=Source_Filaire!F84)</f>
        <v>1</v>
      </c>
      <c r="Q84" t="b">
        <f>IF(Calcul_Filaire!$H$2="Connectivité",TRUE,Calcul_Filaire!$H$2=Source_Filaire!I84)</f>
        <v>1</v>
      </c>
      <c r="R84" t="b">
        <f t="shared" si="1"/>
        <v>1</v>
      </c>
      <c r="T84">
        <f>IF(R84,ROWS($R$2:R84),"")</f>
        <v>83</v>
      </c>
      <c r="U84" s="1">
        <f>IFERROR(SMALL($T$2:$T$104,ROWS(T$2:$T84)),"")</f>
        <v>83</v>
      </c>
    </row>
    <row r="85" spans="1:21" x14ac:dyDescent="0.25">
      <c r="A85" s="4" t="s">
        <v>55</v>
      </c>
      <c r="B85" s="27" t="s">
        <v>448</v>
      </c>
      <c r="C85" s="5" t="s">
        <v>49</v>
      </c>
      <c r="D85" s="3">
        <v>506480</v>
      </c>
      <c r="E85" s="28">
        <v>120</v>
      </c>
      <c r="F85" s="23" t="s">
        <v>30</v>
      </c>
      <c r="G85" s="1" t="s">
        <v>314</v>
      </c>
      <c r="H85" s="5" t="s">
        <v>390</v>
      </c>
      <c r="I85" s="25" t="s">
        <v>29</v>
      </c>
      <c r="J85" s="25" t="s">
        <v>87</v>
      </c>
      <c r="K85" s="25" t="s">
        <v>84</v>
      </c>
      <c r="L85" s="25" t="s">
        <v>235</v>
      </c>
      <c r="O85" t="b">
        <f>IF(Calcul_Filaire!$F$2="Constructeur",TRUE,Calcul_Filaire!$F$2=Source_Filaire!A85)</f>
        <v>1</v>
      </c>
      <c r="P85" t="b">
        <f>IF(Calcul_Filaire!$G$2="Mono/Bino",TRUE,Calcul_Filaire!$G$2=Source_Filaire!F85)</f>
        <v>1</v>
      </c>
      <c r="Q85" t="b">
        <f>IF(Calcul_Filaire!$H$2="Connectivité",TRUE,Calcul_Filaire!$H$2=Source_Filaire!I85)</f>
        <v>1</v>
      </c>
      <c r="R85" t="b">
        <f t="shared" si="1"/>
        <v>1</v>
      </c>
      <c r="T85">
        <f>IF(R85,ROWS($R$2:R85),"")</f>
        <v>84</v>
      </c>
      <c r="U85" s="1">
        <f>IFERROR(SMALL($T$2:$T$104,ROWS(T$2:$T85)),"")</f>
        <v>84</v>
      </c>
    </row>
    <row r="86" spans="1:21" x14ac:dyDescent="0.25">
      <c r="A86" s="4" t="s">
        <v>55</v>
      </c>
      <c r="B86" s="27" t="s">
        <v>449</v>
      </c>
      <c r="C86" s="5" t="s">
        <v>49</v>
      </c>
      <c r="D86" s="3">
        <v>504407</v>
      </c>
      <c r="E86" s="28">
        <v>120</v>
      </c>
      <c r="F86" s="23" t="s">
        <v>30</v>
      </c>
      <c r="G86" s="1" t="s">
        <v>314</v>
      </c>
      <c r="H86" s="5" t="s">
        <v>390</v>
      </c>
      <c r="I86" s="25" t="s">
        <v>29</v>
      </c>
      <c r="J86" s="25" t="s">
        <v>87</v>
      </c>
      <c r="K86" s="25" t="s">
        <v>85</v>
      </c>
      <c r="L86" s="25" t="s">
        <v>235</v>
      </c>
      <c r="O86" t="b">
        <f>IF(Calcul_Filaire!$F$2="Constructeur",TRUE,Calcul_Filaire!$F$2=Source_Filaire!A86)</f>
        <v>1</v>
      </c>
      <c r="P86" t="b">
        <f>IF(Calcul_Filaire!$G$2="Mono/Bino",TRUE,Calcul_Filaire!$G$2=Source_Filaire!F86)</f>
        <v>1</v>
      </c>
      <c r="Q86" t="b">
        <f>IF(Calcul_Filaire!$H$2="Connectivité",TRUE,Calcul_Filaire!$H$2=Source_Filaire!I86)</f>
        <v>1</v>
      </c>
      <c r="R86" t="b">
        <f t="shared" si="1"/>
        <v>1</v>
      </c>
      <c r="T86">
        <f>IF(R86,ROWS($R$2:R86),"")</f>
        <v>85</v>
      </c>
      <c r="U86" s="1">
        <f>IFERROR(SMALL($T$2:$T$104,ROWS(T$2:$T86)),"")</f>
        <v>85</v>
      </c>
    </row>
    <row r="87" spans="1:21" x14ac:dyDescent="0.25">
      <c r="A87" s="4" t="s">
        <v>55</v>
      </c>
      <c r="B87" s="27" t="s">
        <v>450</v>
      </c>
      <c r="C87" s="5" t="s">
        <v>49</v>
      </c>
      <c r="D87" s="3">
        <v>504404</v>
      </c>
      <c r="E87" s="28">
        <v>130</v>
      </c>
      <c r="F87" s="23" t="s">
        <v>31</v>
      </c>
      <c r="G87" s="1" t="s">
        <v>315</v>
      </c>
      <c r="H87" s="5" t="s">
        <v>390</v>
      </c>
      <c r="I87" s="25" t="s">
        <v>29</v>
      </c>
      <c r="J87" s="25" t="s">
        <v>277</v>
      </c>
      <c r="K87" s="25" t="s">
        <v>84</v>
      </c>
      <c r="L87" s="25" t="s">
        <v>235</v>
      </c>
      <c r="O87" t="b">
        <f>IF(Calcul_Filaire!$F$2="Constructeur",TRUE,Calcul_Filaire!$F$2=Source_Filaire!A87)</f>
        <v>1</v>
      </c>
      <c r="P87" t="b">
        <f>IF(Calcul_Filaire!$G$2="Mono/Bino",TRUE,Calcul_Filaire!$G$2=Source_Filaire!F87)</f>
        <v>1</v>
      </c>
      <c r="Q87" t="b">
        <f>IF(Calcul_Filaire!$H$2="Connectivité",TRUE,Calcul_Filaire!$H$2=Source_Filaire!I87)</f>
        <v>1</v>
      </c>
      <c r="R87" t="b">
        <f t="shared" si="1"/>
        <v>1</v>
      </c>
      <c r="T87">
        <f>IF(R87,ROWS($R$2:R87),"")</f>
        <v>86</v>
      </c>
      <c r="U87" s="1">
        <f>IFERROR(SMALL($T$2:$T$104,ROWS(T$2:$T87)),"")</f>
        <v>86</v>
      </c>
    </row>
    <row r="88" spans="1:21" x14ac:dyDescent="0.25">
      <c r="A88" s="4" t="s">
        <v>55</v>
      </c>
      <c r="B88" s="27" t="s">
        <v>451</v>
      </c>
      <c r="C88" s="5" t="s">
        <v>49</v>
      </c>
      <c r="D88" s="3">
        <v>506481</v>
      </c>
      <c r="E88" s="28">
        <v>139</v>
      </c>
      <c r="F88" s="23" t="s">
        <v>31</v>
      </c>
      <c r="G88" s="1" t="s">
        <v>315</v>
      </c>
      <c r="H88" s="5" t="s">
        <v>390</v>
      </c>
      <c r="I88" s="25" t="s">
        <v>29</v>
      </c>
      <c r="J88" s="25" t="s">
        <v>277</v>
      </c>
      <c r="K88" s="25" t="s">
        <v>84</v>
      </c>
      <c r="L88" s="25" t="s">
        <v>235</v>
      </c>
      <c r="O88" t="b">
        <f>IF(Calcul_Filaire!$F$2="Constructeur",TRUE,Calcul_Filaire!$F$2=Source_Filaire!A88)</f>
        <v>1</v>
      </c>
      <c r="P88" t="b">
        <f>IF(Calcul_Filaire!$G$2="Mono/Bino",TRUE,Calcul_Filaire!$G$2=Source_Filaire!F88)</f>
        <v>1</v>
      </c>
      <c r="Q88" t="b">
        <f>IF(Calcul_Filaire!$H$2="Connectivité",TRUE,Calcul_Filaire!$H$2=Source_Filaire!I88)</f>
        <v>1</v>
      </c>
      <c r="R88" t="b">
        <f t="shared" si="1"/>
        <v>1</v>
      </c>
      <c r="T88">
        <f>IF(R88,ROWS($R$2:R88),"")</f>
        <v>87</v>
      </c>
      <c r="U88" s="1">
        <f>IFERROR(SMALL($T$2:$T$104,ROWS(T$2:$T88)),"")</f>
        <v>87</v>
      </c>
    </row>
    <row r="89" spans="1:21" x14ac:dyDescent="0.25">
      <c r="A89" s="4" t="s">
        <v>55</v>
      </c>
      <c r="B89" s="27" t="s">
        <v>452</v>
      </c>
      <c r="C89" s="5" t="s">
        <v>49</v>
      </c>
      <c r="D89" s="3">
        <v>506483</v>
      </c>
      <c r="E89" s="28">
        <v>140</v>
      </c>
      <c r="F89" s="23" t="s">
        <v>31</v>
      </c>
      <c r="G89" s="1" t="s">
        <v>315</v>
      </c>
      <c r="H89" s="5" t="s">
        <v>390</v>
      </c>
      <c r="I89" s="25" t="s">
        <v>29</v>
      </c>
      <c r="J89" s="25" t="s">
        <v>277</v>
      </c>
      <c r="K89" s="25" t="s">
        <v>85</v>
      </c>
      <c r="L89" s="25" t="s">
        <v>235</v>
      </c>
      <c r="O89" t="b">
        <f>IF(Calcul_Filaire!$F$2="Constructeur",TRUE,Calcul_Filaire!$F$2=Source_Filaire!A89)</f>
        <v>1</v>
      </c>
      <c r="P89" t="b">
        <f>IF(Calcul_Filaire!$G$2="Mono/Bino",TRUE,Calcul_Filaire!$G$2=Source_Filaire!F89)</f>
        <v>1</v>
      </c>
      <c r="Q89" t="b">
        <f>IF(Calcul_Filaire!$H$2="Connectivité",TRUE,Calcul_Filaire!$H$2=Source_Filaire!I89)</f>
        <v>1</v>
      </c>
      <c r="R89" t="b">
        <f t="shared" si="1"/>
        <v>1</v>
      </c>
      <c r="T89">
        <f>IF(R89,ROWS($R$2:R89),"")</f>
        <v>88</v>
      </c>
      <c r="U89" s="1">
        <f>IFERROR(SMALL($T$2:$T$104,ROWS(T$2:$T89)),"")</f>
        <v>88</v>
      </c>
    </row>
    <row r="90" spans="1:21" x14ac:dyDescent="0.25">
      <c r="A90" s="4" t="s">
        <v>55</v>
      </c>
      <c r="B90" s="27" t="s">
        <v>453</v>
      </c>
      <c r="C90" s="5" t="s">
        <v>49</v>
      </c>
      <c r="D90" s="3">
        <v>506500</v>
      </c>
      <c r="E90" s="28">
        <v>80</v>
      </c>
      <c r="F90" s="23" t="s">
        <v>30</v>
      </c>
      <c r="G90" s="1" t="s">
        <v>465</v>
      </c>
      <c r="H90" s="5" t="s">
        <v>390</v>
      </c>
      <c r="I90" s="25" t="s">
        <v>29</v>
      </c>
      <c r="J90" s="25" t="s">
        <v>87</v>
      </c>
      <c r="K90" s="25" t="s">
        <v>84</v>
      </c>
      <c r="L90" s="25" t="s">
        <v>235</v>
      </c>
      <c r="O90" t="b">
        <f>IF(Calcul_Filaire!$F$2="Constructeur",TRUE,Calcul_Filaire!$F$2=Source_Filaire!A90)</f>
        <v>1</v>
      </c>
      <c r="P90" t="b">
        <f>IF(Calcul_Filaire!$G$2="Mono/Bino",TRUE,Calcul_Filaire!$G$2=Source_Filaire!F90)</f>
        <v>1</v>
      </c>
      <c r="Q90" t="b">
        <f>IF(Calcul_Filaire!$H$2="Connectivité",TRUE,Calcul_Filaire!$H$2=Source_Filaire!I90)</f>
        <v>1</v>
      </c>
      <c r="R90" t="b">
        <f t="shared" si="1"/>
        <v>1</v>
      </c>
      <c r="T90">
        <f>IF(R90,ROWS($R$2:R90),"")</f>
        <v>89</v>
      </c>
      <c r="U90" s="1">
        <f>IFERROR(SMALL($T$2:$T$104,ROWS(T$2:$T90)),"")</f>
        <v>89</v>
      </c>
    </row>
    <row r="91" spans="1:21" x14ac:dyDescent="0.25">
      <c r="A91" s="4" t="s">
        <v>55</v>
      </c>
      <c r="B91" s="27" t="s">
        <v>454</v>
      </c>
      <c r="C91" s="5" t="s">
        <v>49</v>
      </c>
      <c r="D91" s="3">
        <v>506498</v>
      </c>
      <c r="E91" s="28">
        <v>80</v>
      </c>
      <c r="F91" s="23" t="s">
        <v>30</v>
      </c>
      <c r="G91" s="1" t="s">
        <v>465</v>
      </c>
      <c r="H91" s="5" t="s">
        <v>390</v>
      </c>
      <c r="I91" s="25" t="s">
        <v>29</v>
      </c>
      <c r="J91" s="25" t="s">
        <v>87</v>
      </c>
      <c r="K91" s="25" t="s">
        <v>85</v>
      </c>
      <c r="L91" s="25" t="s">
        <v>235</v>
      </c>
      <c r="O91" t="b">
        <f>IF(Calcul_Filaire!$F$2="Constructeur",TRUE,Calcul_Filaire!$F$2=Source_Filaire!A91)</f>
        <v>1</v>
      </c>
      <c r="P91" t="b">
        <f>IF(Calcul_Filaire!$G$2="Mono/Bino",TRUE,Calcul_Filaire!$G$2=Source_Filaire!F91)</f>
        <v>1</v>
      </c>
      <c r="Q91" t="b">
        <f>IF(Calcul_Filaire!$H$2="Connectivité",TRUE,Calcul_Filaire!$H$2=Source_Filaire!I91)</f>
        <v>1</v>
      </c>
      <c r="R91" t="b">
        <f t="shared" si="1"/>
        <v>1</v>
      </c>
      <c r="T91">
        <f>IF(R91,ROWS($R$2:R91),"")</f>
        <v>90</v>
      </c>
      <c r="U91" s="1">
        <f>IFERROR(SMALL($T$2:$T$104,ROWS(T$2:$T91)),"")</f>
        <v>90</v>
      </c>
    </row>
    <row r="92" spans="1:21" x14ac:dyDescent="0.25">
      <c r="A92" s="4" t="s">
        <v>55</v>
      </c>
      <c r="B92" s="27" t="s">
        <v>455</v>
      </c>
      <c r="C92" s="5" t="s">
        <v>49</v>
      </c>
      <c r="D92" s="3">
        <v>506504</v>
      </c>
      <c r="E92" s="28">
        <v>90</v>
      </c>
      <c r="F92" s="23" t="s">
        <v>31</v>
      </c>
      <c r="G92" s="1" t="s">
        <v>465</v>
      </c>
      <c r="H92" s="5" t="s">
        <v>390</v>
      </c>
      <c r="I92" s="25" t="s">
        <v>29</v>
      </c>
      <c r="J92" s="25" t="s">
        <v>87</v>
      </c>
      <c r="K92" s="25" t="s">
        <v>84</v>
      </c>
      <c r="L92" s="25" t="s">
        <v>235</v>
      </c>
      <c r="O92" t="b">
        <f>IF(Calcul_Filaire!$F$2="Constructeur",TRUE,Calcul_Filaire!$F$2=Source_Filaire!A92)</f>
        <v>1</v>
      </c>
      <c r="P92" t="b">
        <f>IF(Calcul_Filaire!$G$2="Mono/Bino",TRUE,Calcul_Filaire!$G$2=Source_Filaire!F92)</f>
        <v>1</v>
      </c>
      <c r="Q92" t="b">
        <f>IF(Calcul_Filaire!$H$2="Connectivité",TRUE,Calcul_Filaire!$H$2=Source_Filaire!I92)</f>
        <v>1</v>
      </c>
      <c r="R92" t="b">
        <f t="shared" si="1"/>
        <v>1</v>
      </c>
      <c r="T92">
        <f>IF(R92,ROWS($R$2:R92),"")</f>
        <v>91</v>
      </c>
      <c r="U92" s="1">
        <f>IFERROR(SMALL($T$2:$T$104,ROWS(T$2:$T92)),"")</f>
        <v>91</v>
      </c>
    </row>
    <row r="93" spans="1:21" x14ac:dyDescent="0.25">
      <c r="A93" s="4" t="s">
        <v>55</v>
      </c>
      <c r="B93" s="27" t="s">
        <v>456</v>
      </c>
      <c r="C93" s="5" t="s">
        <v>49</v>
      </c>
      <c r="D93" s="3">
        <v>506502</v>
      </c>
      <c r="E93" s="28">
        <v>90</v>
      </c>
      <c r="F93" s="23" t="s">
        <v>31</v>
      </c>
      <c r="G93" s="1" t="s">
        <v>465</v>
      </c>
      <c r="H93" s="5" t="s">
        <v>390</v>
      </c>
      <c r="I93" s="25" t="s">
        <v>29</v>
      </c>
      <c r="J93" s="25" t="s">
        <v>87</v>
      </c>
      <c r="K93" s="25" t="s">
        <v>85</v>
      </c>
      <c r="L93" s="25" t="s">
        <v>235</v>
      </c>
      <c r="O93" t="b">
        <f>IF(Calcul_Filaire!$F$2="Constructeur",TRUE,Calcul_Filaire!$F$2=Source_Filaire!A93)</f>
        <v>1</v>
      </c>
      <c r="P93" t="b">
        <f>IF(Calcul_Filaire!$G$2="Mono/Bino",TRUE,Calcul_Filaire!$G$2=Source_Filaire!F93)</f>
        <v>1</v>
      </c>
      <c r="Q93" t="b">
        <f>IF(Calcul_Filaire!$H$2="Connectivité",TRUE,Calcul_Filaire!$H$2=Source_Filaire!I93)</f>
        <v>1</v>
      </c>
      <c r="R93" t="b">
        <f t="shared" si="1"/>
        <v>1</v>
      </c>
      <c r="T93">
        <f>IF(R93,ROWS($R$2:R93),"")</f>
        <v>92</v>
      </c>
      <c r="U93" s="1">
        <f>IFERROR(SMALL($T$2:$T$104,ROWS(T$2:$T93)),"")</f>
        <v>92</v>
      </c>
    </row>
    <row r="94" spans="1:21" x14ac:dyDescent="0.25">
      <c r="A94" s="4" t="s">
        <v>55</v>
      </c>
      <c r="B94" s="27" t="s">
        <v>457</v>
      </c>
      <c r="C94" s="5" t="s">
        <v>49</v>
      </c>
      <c r="D94" s="3">
        <v>507085</v>
      </c>
      <c r="E94" s="28">
        <v>99</v>
      </c>
      <c r="F94" s="23" t="s">
        <v>31</v>
      </c>
      <c r="H94" s="5" t="s">
        <v>440</v>
      </c>
      <c r="I94" s="25" t="s">
        <v>29</v>
      </c>
      <c r="J94" s="25" t="s">
        <v>87</v>
      </c>
      <c r="K94" s="25" t="s">
        <v>84</v>
      </c>
      <c r="L94" s="25" t="s">
        <v>235</v>
      </c>
      <c r="O94" t="b">
        <f>IF(Calcul_Filaire!$F$2="Constructeur",TRUE,Calcul_Filaire!$F$2=Source_Filaire!A94)</f>
        <v>1</v>
      </c>
      <c r="P94" t="b">
        <f>IF(Calcul_Filaire!$G$2="Mono/Bino",TRUE,Calcul_Filaire!$G$2=Source_Filaire!F94)</f>
        <v>1</v>
      </c>
      <c r="Q94" t="b">
        <f>IF(Calcul_Filaire!$H$2="Connectivité",TRUE,Calcul_Filaire!$H$2=Source_Filaire!I94)</f>
        <v>1</v>
      </c>
      <c r="R94" t="b">
        <f t="shared" si="1"/>
        <v>1</v>
      </c>
      <c r="T94">
        <f>IF(R94,ROWS($R$2:R94),"")</f>
        <v>93</v>
      </c>
      <c r="U94" s="1">
        <f>IFERROR(SMALL($T$2:$T$104,ROWS(T$2:$T94)),"")</f>
        <v>93</v>
      </c>
    </row>
    <row r="95" spans="1:21" x14ac:dyDescent="0.25">
      <c r="A95" s="4" t="s">
        <v>55</v>
      </c>
      <c r="B95" s="27" t="s">
        <v>458</v>
      </c>
      <c r="C95" s="5" t="s">
        <v>49</v>
      </c>
      <c r="D95" s="3">
        <v>507087</v>
      </c>
      <c r="E95" s="28">
        <v>99</v>
      </c>
      <c r="F95" s="23" t="s">
        <v>31</v>
      </c>
      <c r="H95" s="5" t="s">
        <v>390</v>
      </c>
      <c r="I95" s="25" t="s">
        <v>29</v>
      </c>
      <c r="J95" s="25" t="s">
        <v>87</v>
      </c>
      <c r="K95" s="25" t="s">
        <v>84</v>
      </c>
      <c r="L95" s="25" t="s">
        <v>235</v>
      </c>
      <c r="O95" t="b">
        <f>IF(Calcul_Filaire!$F$2="Constructeur",TRUE,Calcul_Filaire!$F$2=Source_Filaire!A95)</f>
        <v>1</v>
      </c>
      <c r="P95" t="b">
        <f>IF(Calcul_Filaire!$G$2="Mono/Bino",TRUE,Calcul_Filaire!$G$2=Source_Filaire!F95)</f>
        <v>1</v>
      </c>
      <c r="Q95" t="b">
        <f>IF(Calcul_Filaire!$H$2="Connectivité",TRUE,Calcul_Filaire!$H$2=Source_Filaire!I95)</f>
        <v>1</v>
      </c>
      <c r="R95" t="b">
        <f t="shared" si="1"/>
        <v>1</v>
      </c>
      <c r="T95">
        <f>IF(R95,ROWS($R$2:R95),"")</f>
        <v>94</v>
      </c>
      <c r="U95" s="1">
        <f>IFERROR(SMALL($T$2:$T$104,ROWS(T$2:$T95)),"")</f>
        <v>94</v>
      </c>
    </row>
    <row r="96" spans="1:21" x14ac:dyDescent="0.25">
      <c r="A96" s="4" t="s">
        <v>55</v>
      </c>
      <c r="B96" s="27" t="s">
        <v>459</v>
      </c>
      <c r="C96" s="5" t="s">
        <v>49</v>
      </c>
      <c r="D96" s="3">
        <v>507086</v>
      </c>
      <c r="E96" s="28">
        <v>99</v>
      </c>
      <c r="F96" s="23" t="s">
        <v>31</v>
      </c>
      <c r="H96" s="5" t="s">
        <v>390</v>
      </c>
      <c r="I96" s="25" t="s">
        <v>29</v>
      </c>
      <c r="J96" s="25" t="s">
        <v>87</v>
      </c>
      <c r="K96" s="25" t="s">
        <v>85</v>
      </c>
      <c r="L96" s="25" t="s">
        <v>235</v>
      </c>
      <c r="O96" t="b">
        <f>IF(Calcul_Filaire!$F$2="Constructeur",TRUE,Calcul_Filaire!$F$2=Source_Filaire!A96)</f>
        <v>1</v>
      </c>
      <c r="P96" t="b">
        <f>IF(Calcul_Filaire!$G$2="Mono/Bino",TRUE,Calcul_Filaire!$G$2=Source_Filaire!F96)</f>
        <v>1</v>
      </c>
      <c r="Q96" t="b">
        <f>IF(Calcul_Filaire!$H$2="Connectivité",TRUE,Calcul_Filaire!$H$2=Source_Filaire!I96)</f>
        <v>1</v>
      </c>
      <c r="R96" t="b">
        <f t="shared" si="1"/>
        <v>1</v>
      </c>
      <c r="T96">
        <f>IF(R96,ROWS($R$2:R96),"")</f>
        <v>95</v>
      </c>
      <c r="U96" s="1">
        <f>IFERROR(SMALL($T$2:$T$104,ROWS(T$2:$T96)),"")</f>
        <v>95</v>
      </c>
    </row>
    <row r="97" spans="1:21" x14ac:dyDescent="0.25">
      <c r="A97" s="4" t="s">
        <v>55</v>
      </c>
      <c r="B97" s="27" t="s">
        <v>460</v>
      </c>
      <c r="C97" s="5" t="s">
        <v>49</v>
      </c>
      <c r="D97" s="3">
        <v>504548</v>
      </c>
      <c r="E97" s="28">
        <v>55</v>
      </c>
      <c r="F97" s="23" t="s">
        <v>30</v>
      </c>
      <c r="G97" s="1" t="s">
        <v>466</v>
      </c>
      <c r="H97" s="5" t="s">
        <v>390</v>
      </c>
      <c r="I97" s="25" t="s">
        <v>29</v>
      </c>
      <c r="J97" s="25" t="s">
        <v>87</v>
      </c>
      <c r="K97" s="25" t="s">
        <v>84</v>
      </c>
      <c r="L97" s="25" t="s">
        <v>235</v>
      </c>
      <c r="O97" t="b">
        <f>IF(Calcul_Filaire!$F$2="Constructeur",TRUE,Calcul_Filaire!$F$2=Source_Filaire!A97)</f>
        <v>1</v>
      </c>
      <c r="P97" t="b">
        <f>IF(Calcul_Filaire!$G$2="Mono/Bino",TRUE,Calcul_Filaire!$G$2=Source_Filaire!F97)</f>
        <v>1</v>
      </c>
      <c r="Q97" t="b">
        <f>IF(Calcul_Filaire!$H$2="Connectivité",TRUE,Calcul_Filaire!$H$2=Source_Filaire!I97)</f>
        <v>1</v>
      </c>
      <c r="R97" t="b">
        <f t="shared" si="1"/>
        <v>1</v>
      </c>
      <c r="T97">
        <f>IF(R97,ROWS($R$2:R97),"")</f>
        <v>96</v>
      </c>
      <c r="U97" s="1">
        <f>IFERROR(SMALL($T$2:$T$104,ROWS(T$2:$T97)),"")</f>
        <v>96</v>
      </c>
    </row>
    <row r="98" spans="1:21" x14ac:dyDescent="0.25">
      <c r="A98" s="4" t="s">
        <v>55</v>
      </c>
      <c r="B98" s="27" t="s">
        <v>461</v>
      </c>
      <c r="C98" s="5" t="s">
        <v>49</v>
      </c>
      <c r="D98" s="3">
        <v>504546</v>
      </c>
      <c r="E98" s="28">
        <v>55</v>
      </c>
      <c r="F98" s="23" t="s">
        <v>30</v>
      </c>
      <c r="G98" s="1" t="s">
        <v>466</v>
      </c>
      <c r="H98" s="5" t="s">
        <v>390</v>
      </c>
      <c r="I98" s="25" t="s">
        <v>29</v>
      </c>
      <c r="J98" s="25" t="s">
        <v>87</v>
      </c>
      <c r="K98" s="25" t="s">
        <v>85</v>
      </c>
      <c r="L98" s="25" t="s">
        <v>235</v>
      </c>
      <c r="O98" t="b">
        <f>IF(Calcul_Filaire!$F$2="Constructeur",TRUE,Calcul_Filaire!$F$2=Source_Filaire!A98)</f>
        <v>1</v>
      </c>
      <c r="P98" t="b">
        <f>IF(Calcul_Filaire!$G$2="Mono/Bino",TRUE,Calcul_Filaire!$G$2=Source_Filaire!F98)</f>
        <v>1</v>
      </c>
      <c r="Q98" t="b">
        <f>IF(Calcul_Filaire!$H$2="Connectivité",TRUE,Calcul_Filaire!$H$2=Source_Filaire!I98)</f>
        <v>1</v>
      </c>
      <c r="R98" t="b">
        <f t="shared" si="1"/>
        <v>1</v>
      </c>
      <c r="T98">
        <f>IF(R98,ROWS($R$2:R98),"")</f>
        <v>97</v>
      </c>
      <c r="U98" s="1">
        <f>IFERROR(SMALL($T$2:$T$104,ROWS(T$2:$T98)),"")</f>
        <v>97</v>
      </c>
    </row>
    <row r="99" spans="1:21" x14ac:dyDescent="0.25">
      <c r="A99" s="4" t="s">
        <v>55</v>
      </c>
      <c r="B99" s="27" t="s">
        <v>462</v>
      </c>
      <c r="C99" s="5" t="s">
        <v>49</v>
      </c>
      <c r="D99" s="3">
        <v>504549</v>
      </c>
      <c r="E99" s="28">
        <v>65</v>
      </c>
      <c r="F99" s="23" t="s">
        <v>31</v>
      </c>
      <c r="G99" s="1" t="s">
        <v>467</v>
      </c>
      <c r="H99" s="5" t="s">
        <v>390</v>
      </c>
      <c r="I99" s="25" t="s">
        <v>29</v>
      </c>
      <c r="J99" s="25" t="s">
        <v>87</v>
      </c>
      <c r="K99" s="25" t="s">
        <v>84</v>
      </c>
      <c r="L99" s="25" t="s">
        <v>235</v>
      </c>
      <c r="O99" t="b">
        <f>IF(Calcul_Filaire!$F$2="Constructeur",TRUE,Calcul_Filaire!$F$2=Source_Filaire!A99)</f>
        <v>1</v>
      </c>
      <c r="P99" t="b">
        <f>IF(Calcul_Filaire!$G$2="Mono/Bino",TRUE,Calcul_Filaire!$G$2=Source_Filaire!F99)</f>
        <v>1</v>
      </c>
      <c r="Q99" t="b">
        <f>IF(Calcul_Filaire!$H$2="Connectivité",TRUE,Calcul_Filaire!$H$2=Source_Filaire!I99)</f>
        <v>1</v>
      </c>
      <c r="R99" t="b">
        <f t="shared" si="1"/>
        <v>1</v>
      </c>
      <c r="T99">
        <f>IF(R99,ROWS($R$2:R99),"")</f>
        <v>98</v>
      </c>
      <c r="U99" s="1">
        <f>IFERROR(SMALL($T$2:$T$104,ROWS(T$2:$T99)),"")</f>
        <v>98</v>
      </c>
    </row>
    <row r="100" spans="1:21" x14ac:dyDescent="0.25">
      <c r="A100" s="4" t="s">
        <v>55</v>
      </c>
      <c r="B100" s="27" t="s">
        <v>463</v>
      </c>
      <c r="C100" s="5" t="s">
        <v>49</v>
      </c>
      <c r="D100" s="3">
        <v>504547</v>
      </c>
      <c r="E100" s="28">
        <v>65</v>
      </c>
      <c r="F100" s="23" t="s">
        <v>31</v>
      </c>
      <c r="G100" s="1" t="s">
        <v>467</v>
      </c>
      <c r="H100" s="5" t="s">
        <v>390</v>
      </c>
      <c r="I100" s="25" t="s">
        <v>29</v>
      </c>
      <c r="J100" s="25" t="s">
        <v>87</v>
      </c>
      <c r="K100" s="25" t="s">
        <v>85</v>
      </c>
      <c r="L100" s="25" t="s">
        <v>235</v>
      </c>
      <c r="O100" t="b">
        <f>IF(Calcul_Filaire!$F$2="Constructeur",TRUE,Calcul_Filaire!$F$2=Source_Filaire!A100)</f>
        <v>1</v>
      </c>
      <c r="P100" t="b">
        <f>IF(Calcul_Filaire!$G$2="Mono/Bino",TRUE,Calcul_Filaire!$G$2=Source_Filaire!F100)</f>
        <v>1</v>
      </c>
      <c r="Q100" t="b">
        <f>IF(Calcul_Filaire!$H$2="Connectivité",TRUE,Calcul_Filaire!$H$2=Source_Filaire!I100)</f>
        <v>1</v>
      </c>
      <c r="R100" t="b">
        <f t="shared" si="1"/>
        <v>1</v>
      </c>
      <c r="T100">
        <f>IF(R100,ROWS($R$2:R100),"")</f>
        <v>99</v>
      </c>
      <c r="U100" s="1">
        <f>IFERROR(SMALL($T$2:$T$104,ROWS(T$2:$T100)),"")</f>
        <v>99</v>
      </c>
    </row>
    <row r="101" spans="1:21" x14ac:dyDescent="0.25">
      <c r="A101" s="4" t="s">
        <v>55</v>
      </c>
      <c r="B101" s="5" t="s">
        <v>469</v>
      </c>
      <c r="C101" s="5" t="s">
        <v>49</v>
      </c>
      <c r="D101" s="5">
        <v>506047</v>
      </c>
      <c r="E101" s="42">
        <v>159</v>
      </c>
      <c r="F101" s="1" t="s">
        <v>237</v>
      </c>
      <c r="H101" s="5" t="s">
        <v>390</v>
      </c>
      <c r="I101" s="25" t="s">
        <v>474</v>
      </c>
      <c r="J101" s="25" t="s">
        <v>87</v>
      </c>
      <c r="K101" s="25" t="s">
        <v>84</v>
      </c>
      <c r="O101" t="b">
        <f>IF(Calcul_Filaire!$F$2="Constructeur",TRUE,Calcul_Filaire!$F$2=Source_Filaire!A101)</f>
        <v>1</v>
      </c>
      <c r="P101" t="b">
        <f>IF(Calcul_Filaire!$G$2="Mono/Bino",TRUE,Calcul_Filaire!$G$2=Source_Filaire!F101)</f>
        <v>1</v>
      </c>
      <c r="Q101" t="b">
        <f>IF(Calcul_Filaire!$H$2="Connectivité",TRUE,Calcul_Filaire!$H$2=Source_Filaire!I101)</f>
        <v>1</v>
      </c>
      <c r="R101" t="b">
        <f t="shared" si="1"/>
        <v>1</v>
      </c>
      <c r="T101">
        <f>IF(R101,ROWS($R$2:R101),"")</f>
        <v>100</v>
      </c>
      <c r="U101" s="1">
        <f>IFERROR(SMALL($T$2:$T$104,ROWS(T$2:$T101)),"")</f>
        <v>100</v>
      </c>
    </row>
    <row r="102" spans="1:21" x14ac:dyDescent="0.25">
      <c r="A102" s="4" t="s">
        <v>55</v>
      </c>
      <c r="B102" s="5" t="s">
        <v>470</v>
      </c>
      <c r="C102" s="5" t="s">
        <v>49</v>
      </c>
      <c r="D102" s="5">
        <v>506048</v>
      </c>
      <c r="E102" s="42">
        <v>159</v>
      </c>
      <c r="F102" s="1" t="s">
        <v>237</v>
      </c>
      <c r="H102" s="5" t="s">
        <v>390</v>
      </c>
      <c r="I102" s="25" t="s">
        <v>29</v>
      </c>
      <c r="J102" s="25" t="s">
        <v>87</v>
      </c>
      <c r="K102" s="25" t="s">
        <v>85</v>
      </c>
      <c r="O102" t="b">
        <f>IF(Calcul_Filaire!$F$2="Constructeur",TRUE,Calcul_Filaire!$F$2=Source_Filaire!A102)</f>
        <v>1</v>
      </c>
      <c r="P102" t="b">
        <f>IF(Calcul_Filaire!$G$2="Mono/Bino",TRUE,Calcul_Filaire!$G$2=Source_Filaire!F102)</f>
        <v>1</v>
      </c>
      <c r="Q102" t="b">
        <f>IF(Calcul_Filaire!$H$2="Connectivité",TRUE,Calcul_Filaire!$H$2=Source_Filaire!I102)</f>
        <v>1</v>
      </c>
      <c r="R102" t="b">
        <f t="shared" si="1"/>
        <v>1</v>
      </c>
      <c r="T102">
        <f>IF(R102,ROWS($R$2:R102),"")</f>
        <v>101</v>
      </c>
      <c r="U102" s="1">
        <f>IFERROR(SMALL($T$2:$T$104,ROWS(T$2:$T102)),"")</f>
        <v>101</v>
      </c>
    </row>
    <row r="103" spans="1:21" x14ac:dyDescent="0.25">
      <c r="A103" s="4" t="s">
        <v>55</v>
      </c>
      <c r="B103" s="5" t="s">
        <v>471</v>
      </c>
      <c r="C103" s="5" t="s">
        <v>49</v>
      </c>
      <c r="D103" s="5">
        <v>506049</v>
      </c>
      <c r="E103" s="42">
        <v>179</v>
      </c>
      <c r="F103" s="1" t="s">
        <v>237</v>
      </c>
      <c r="H103" s="5" t="s">
        <v>473</v>
      </c>
      <c r="I103" s="25" t="s">
        <v>475</v>
      </c>
      <c r="J103" s="25" t="s">
        <v>87</v>
      </c>
      <c r="K103" s="25" t="s">
        <v>84</v>
      </c>
      <c r="O103" t="b">
        <f>IF(Calcul_Filaire!$F$2="Constructeur",TRUE,Calcul_Filaire!$F$2=Source_Filaire!A103)</f>
        <v>1</v>
      </c>
      <c r="P103" t="b">
        <f>IF(Calcul_Filaire!$G$2="Mono/Bino",TRUE,Calcul_Filaire!$G$2=Source_Filaire!F103)</f>
        <v>1</v>
      </c>
      <c r="Q103" t="b">
        <f>IF(Calcul_Filaire!$H$2="Connectivité",TRUE,Calcul_Filaire!$H$2=Source_Filaire!I103)</f>
        <v>1</v>
      </c>
      <c r="R103" t="b">
        <f t="shared" si="1"/>
        <v>1</v>
      </c>
      <c r="T103">
        <f>IF(R103,ROWS($R$2:R103),"")</f>
        <v>102</v>
      </c>
      <c r="U103" s="1">
        <f>IFERROR(SMALL($T$2:$T$104,ROWS(T$2:$T103)),"")</f>
        <v>102</v>
      </c>
    </row>
    <row r="104" spans="1:21" x14ac:dyDescent="0.25">
      <c r="A104" s="4" t="s">
        <v>55</v>
      </c>
      <c r="B104" s="5" t="s">
        <v>472</v>
      </c>
      <c r="C104" s="5" t="s">
        <v>49</v>
      </c>
      <c r="D104" s="5">
        <v>506050</v>
      </c>
      <c r="E104" s="42">
        <v>179</v>
      </c>
      <c r="F104" s="1" t="s">
        <v>237</v>
      </c>
      <c r="H104" s="5" t="s">
        <v>473</v>
      </c>
      <c r="I104" s="25" t="s">
        <v>475</v>
      </c>
      <c r="J104" s="25" t="s">
        <v>87</v>
      </c>
      <c r="K104" s="25" t="s">
        <v>85</v>
      </c>
      <c r="O104" t="b">
        <f>IF(Calcul_Filaire!$F$2="Constructeur",TRUE,Calcul_Filaire!$F$2=Source_Filaire!A104)</f>
        <v>1</v>
      </c>
      <c r="P104" t="b">
        <f>IF(Calcul_Filaire!$G$2="Mono/Bino",TRUE,Calcul_Filaire!$G$2=Source_Filaire!F104)</f>
        <v>1</v>
      </c>
      <c r="Q104" t="b">
        <f>IF(Calcul_Filaire!$H$2="Connectivité",TRUE,Calcul_Filaire!$H$2=Source_Filaire!I104)</f>
        <v>1</v>
      </c>
      <c r="R104" t="b">
        <f t="shared" si="1"/>
        <v>1</v>
      </c>
      <c r="T104">
        <f>IF(R104,ROWS($R$2:R104),"")</f>
        <v>103</v>
      </c>
      <c r="U104" s="1">
        <f>IFERROR(SMALL($T$2:$T$104,ROWS(T$2:$T104)),"")</f>
        <v>103</v>
      </c>
    </row>
  </sheetData>
  <autoFilter ref="A1:M10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8"/>
  <sheetViews>
    <sheetView workbookViewId="0">
      <selection activeCell="C9" sqref="C9"/>
    </sheetView>
  </sheetViews>
  <sheetFormatPr baseColWidth="10" defaultRowHeight="15" x14ac:dyDescent="0.25"/>
  <cols>
    <col min="1" max="1" width="12.7109375" bestFit="1" customWidth="1"/>
    <col min="2" max="2" width="12.5703125" bestFit="1" customWidth="1"/>
    <col min="3" max="3" width="15.7109375" bestFit="1" customWidth="1"/>
    <col min="6" max="6" width="13.28515625" customWidth="1"/>
    <col min="8" max="8" width="15.7109375" bestFit="1" customWidth="1"/>
  </cols>
  <sheetData>
    <row r="1" spans="1:8" x14ac:dyDescent="0.25">
      <c r="A1" s="7" t="s">
        <v>16</v>
      </c>
      <c r="B1" s="7" t="s">
        <v>11</v>
      </c>
      <c r="C1" s="7" t="s">
        <v>17</v>
      </c>
      <c r="F1" s="11">
        <v>1</v>
      </c>
      <c r="G1" s="11">
        <v>1</v>
      </c>
      <c r="H1" s="11">
        <v>1</v>
      </c>
    </row>
    <row r="2" spans="1:8" x14ac:dyDescent="0.25">
      <c r="A2" t="s">
        <v>19</v>
      </c>
      <c r="B2" t="s">
        <v>30</v>
      </c>
      <c r="C2" t="s">
        <v>29</v>
      </c>
      <c r="F2" s="12" t="str">
        <f>INDEX(A1:A4,F1)</f>
        <v>Constructeur</v>
      </c>
      <c r="G2" s="12" t="str">
        <f>INDEX(B1:B4,G1)</f>
        <v>Mono/Bino</v>
      </c>
      <c r="H2" s="12" t="str">
        <f>INDEX(C1:C4,H1)</f>
        <v>Connectivité</v>
      </c>
    </row>
    <row r="3" spans="1:8" x14ac:dyDescent="0.25">
      <c r="A3" s="4" t="s">
        <v>279</v>
      </c>
      <c r="B3" t="s">
        <v>31</v>
      </c>
      <c r="C3" t="s">
        <v>468</v>
      </c>
    </row>
    <row r="4" spans="1:8" x14ac:dyDescent="0.25">
      <c r="A4" t="s">
        <v>55</v>
      </c>
      <c r="B4" t="s">
        <v>237</v>
      </c>
      <c r="C4" s="25" t="s">
        <v>475</v>
      </c>
    </row>
    <row r="8" spans="1:8" x14ac:dyDescent="0.25">
      <c r="C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"/>
  <sheetViews>
    <sheetView showGridLines="0" workbookViewId="0">
      <selection activeCell="D33" sqref="D33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TextBox1">
          <controlPr defaultSize="0" autoLine="0" autoPict="0" r:id="rId5">
            <anchor moveWithCells="1">
              <from>
                <xdr:col>7</xdr:col>
                <xdr:colOff>19050</xdr:colOff>
                <xdr:row>5</xdr:row>
                <xdr:rowOff>19050</xdr:rowOff>
              </from>
              <to>
                <xdr:col>12</xdr:col>
                <xdr:colOff>790575</xdr:colOff>
                <xdr:row>16</xdr:row>
                <xdr:rowOff>19050</xdr:rowOff>
              </to>
            </anchor>
          </controlPr>
        </control>
      </mc:Choice>
      <mc:Fallback>
        <control shapeId="10243" r:id="rId4" name="TextBox1"/>
      </mc:Fallback>
    </mc:AlternateContent>
    <mc:AlternateContent xmlns:mc="http://schemas.openxmlformats.org/markup-compatibility/2006">
      <mc:Choice Requires="x14">
        <control shapeId="10241" r:id="rId6" name="Button 1">
          <controlPr defaultSize="0" print="0" autoFill="0" autoPict="0" macro="[0]!filaires">
            <anchor moveWithCells="1" sizeWithCells="1">
              <from>
                <xdr:col>7</xdr:col>
                <xdr:colOff>781050</xdr:colOff>
                <xdr:row>9</xdr:row>
                <xdr:rowOff>9525</xdr:rowOff>
              </from>
              <to>
                <xdr:col>12</xdr:col>
                <xdr:colOff>9525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Button 2">
          <controlPr defaultSize="0" print="0" autoFill="0" autoPict="0" macro="[0]!Sans_fil">
            <anchor moveWithCells="1" sizeWithCells="1">
              <from>
                <xdr:col>8</xdr:col>
                <xdr:colOff>0</xdr:colOff>
                <xdr:row>12</xdr:row>
                <xdr:rowOff>9525</xdr:rowOff>
              </from>
              <to>
                <xdr:col>11</xdr:col>
                <xdr:colOff>781050</xdr:colOff>
                <xdr:row>14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0:S154"/>
  <sheetViews>
    <sheetView showGridLines="0" tabSelected="1" topLeftCell="A12" zoomScaleNormal="100" workbookViewId="0">
      <selection activeCell="M37" sqref="M37"/>
    </sheetView>
  </sheetViews>
  <sheetFormatPr baseColWidth="10" defaultColWidth="11.7109375" defaultRowHeight="15" x14ac:dyDescent="0.25"/>
  <cols>
    <col min="1" max="1" width="16.7109375" style="8" customWidth="1"/>
    <col min="2" max="2" width="24.7109375" style="8" customWidth="1"/>
    <col min="3" max="3" width="12.7109375" style="8" customWidth="1"/>
    <col min="4" max="4" width="15.140625" style="8" bestFit="1" customWidth="1"/>
    <col min="5" max="5" width="9.85546875" style="8" bestFit="1" customWidth="1"/>
    <col min="6" max="6" width="13.7109375" style="8" customWidth="1"/>
    <col min="7" max="7" width="11.7109375" style="8"/>
    <col min="8" max="8" width="16.7109375" style="8" customWidth="1"/>
    <col min="9" max="9" width="15.7109375" style="8" bestFit="1" customWidth="1"/>
    <col min="10" max="10" width="11.7109375" style="8"/>
    <col min="11" max="11" width="14.7109375" style="8" bestFit="1" customWidth="1"/>
    <col min="12" max="12" width="43" style="8" bestFit="1" customWidth="1"/>
    <col min="13" max="13" width="30.28515625" style="8" customWidth="1"/>
    <col min="14" max="14" width="16.5703125" style="8" bestFit="1" customWidth="1"/>
    <col min="15" max="15" width="6.85546875" style="8" bestFit="1" customWidth="1"/>
    <col min="16" max="16" width="11.7109375" style="8"/>
    <col min="17" max="17" width="15.140625" style="8" bestFit="1" customWidth="1"/>
    <col min="18" max="18" width="16.5703125" style="8" customWidth="1"/>
    <col min="19" max="19" width="11.7109375" style="8"/>
    <col min="20" max="16384" width="11.7109375" style="19"/>
  </cols>
  <sheetData>
    <row r="10" spans="1:19" s="15" customForma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6" spans="1:19" x14ac:dyDescent="0.25">
      <c r="A16" s="16" t="s">
        <v>256</v>
      </c>
      <c r="B16" s="16" t="s">
        <v>0</v>
      </c>
      <c r="C16" s="16" t="s">
        <v>49</v>
      </c>
      <c r="D16" s="16" t="s">
        <v>257</v>
      </c>
      <c r="E16" s="16" t="s">
        <v>258</v>
      </c>
      <c r="F16" s="16" t="s">
        <v>11</v>
      </c>
      <c r="G16" s="16" t="s">
        <v>8</v>
      </c>
      <c r="H16" s="16" t="s">
        <v>259</v>
      </c>
      <c r="I16" s="16" t="s">
        <v>17</v>
      </c>
      <c r="J16" s="16" t="s">
        <v>10</v>
      </c>
      <c r="K16" s="16" t="s">
        <v>316</v>
      </c>
      <c r="L16" s="16" t="s">
        <v>14</v>
      </c>
      <c r="M16" s="16" t="s">
        <v>15</v>
      </c>
    </row>
    <row r="17" spans="1:13" x14ac:dyDescent="0.25">
      <c r="A17" s="8" t="str">
        <f>IFERROR(INDEX(Source_Filaire!$A$2:$M$104,Source_Filaire!$U2,COLUMNS(Source_Filaire!$R$2:R2)),"")</f>
        <v>JABRA</v>
      </c>
      <c r="B17" s="8" t="str">
        <f>IFERROR(INDEX(Source_Filaire!$A$2:$M$104,Source_Filaire!$U2,COLUMNS(Source_Filaire!$R$2:S2)),"")</f>
        <v>GN 2100 Mono Flex</v>
      </c>
      <c r="C17" s="8" t="str">
        <f>IFERROR(INDEX(Source_Filaire!$A$2:$M$104,Source_Filaire!$U2,COLUMNS(Source_Filaire!$R$2:T2)),"")</f>
        <v>Filaire</v>
      </c>
      <c r="D17" s="8" t="str">
        <f>IFERROR(INDEX(Source_Filaire!$A$2:$M$104,Source_Filaire!$U2,COLUMNS(Source_Filaire!$R$2:U2)),"")</f>
        <v>2126-82-04</v>
      </c>
      <c r="E17" s="43">
        <f>IFERROR(INDEX(Source_Filaire!$A$2:$M$104,Source_Filaire!$U2,COLUMNS(Source_Filaire!$R$2:V2)),"")</f>
        <v>178</v>
      </c>
      <c r="F17" s="8" t="str">
        <f>IFERROR(INDEX(Source_Filaire!$A$2:$M$104,Source_Filaire!$U2,COLUMNS(Source_Filaire!$R$2:W2)),"")</f>
        <v>Mono</v>
      </c>
      <c r="G17" s="40" t="str">
        <f>IFERROR(INDEX(Source_Filaire!$A$2:$M$104,Source_Filaire!$U2,COLUMNS(Source_Filaire!$R$2:X2)),"")</f>
        <v>40g</v>
      </c>
      <c r="H17" s="40" t="str">
        <f>IFERROR(INDEX(Source_Filaire!$A$2:$M$104,Source_Filaire!$U2,COLUMNS(Source_Filaire!$R$2:Y2)),"")</f>
        <v>QD</v>
      </c>
      <c r="I17" s="40" t="str">
        <f>IFERROR(INDEX(Source_Filaire!$A$2:$M$104,Source_Filaire!$U2,COLUMNS(Source_Filaire!$R$2:Z2)),"")</f>
        <v>TEL ou PC ou GSM</v>
      </c>
      <c r="J17" s="40" t="str">
        <f>IFERROR(INDEX(Source_Filaire!$A$2:$M$104,Source_Filaire!$U2,COLUMNS(Source_Filaire!$R$2:AA2)),"")</f>
        <v>2 ans</v>
      </c>
      <c r="K17" s="40">
        <f>IFERROR(INDEX(Source_Filaire!$A$2:$M$104,Source_Filaire!$U2,COLUMNS(Source_Filaire!$R$2:AB2)),"")</f>
        <v>0</v>
      </c>
      <c r="L17" s="40" t="str">
        <f>IFERROR(INDEX(Source_Filaire!$A$2:$M$104,Source_Filaire!$U2,COLUMNS(Source_Filaire!$R$2:AC2)),"")</f>
        <v>Serre-tête</v>
      </c>
      <c r="M17" s="40" t="str">
        <f>IFERROR(INDEX(Source_Filaire!$A$2:$M$104,Source_Filaire!$U2,COLUMNS(Source_Filaire!$R$2:AD2)),"")</f>
        <v>Contour de nuque/Contour d'oreille</v>
      </c>
    </row>
    <row r="18" spans="1:13" x14ac:dyDescent="0.25">
      <c r="A18" s="8" t="str">
        <f>IFERROR(INDEX(Source_Filaire!$A$2:$M$104,Source_Filaire!$U3,COLUMNS(Source_Filaire!$R$2:R3)),"")</f>
        <v>JABRA</v>
      </c>
      <c r="B18" s="8" t="str">
        <f>IFERROR(INDEX(Source_Filaire!$A$2:$M$104,Source_Filaire!$U3,COLUMNS(Source_Filaire!$R$2:S3)),"")</f>
        <v>GN 2100 Duo Flex</v>
      </c>
      <c r="C18" s="8" t="str">
        <f>IFERROR(INDEX(Source_Filaire!$A$2:$M$104,Source_Filaire!$U3,COLUMNS(Source_Filaire!$R$2:T3)),"")</f>
        <v>Filaire</v>
      </c>
      <c r="D18" s="8" t="str">
        <f>IFERROR(INDEX(Source_Filaire!$A$2:$M$104,Source_Filaire!$U3,COLUMNS(Source_Filaire!$R$2:U3)),"")</f>
        <v>2129-82-04</v>
      </c>
      <c r="E18" s="43">
        <f>IFERROR(INDEX(Source_Filaire!$A$2:$M$104,Source_Filaire!$U3,COLUMNS(Source_Filaire!$R$2:V3)),"")</f>
        <v>187</v>
      </c>
      <c r="F18" s="8" t="str">
        <f>IFERROR(INDEX(Source_Filaire!$A$2:$M$104,Source_Filaire!$U3,COLUMNS(Source_Filaire!$R$2:W3)),"")</f>
        <v>Bino</v>
      </c>
      <c r="G18" s="40" t="str">
        <f>IFERROR(INDEX(Source_Filaire!$A$2:$M$104,Source_Filaire!$U3,COLUMNS(Source_Filaire!$R$2:X3)),"")</f>
        <v>55g</v>
      </c>
      <c r="H18" s="40" t="str">
        <f>IFERROR(INDEX(Source_Filaire!$A$2:$M$104,Source_Filaire!$U3,COLUMNS(Source_Filaire!$R$2:Y3)),"")</f>
        <v>QD</v>
      </c>
      <c r="I18" s="40" t="str">
        <f>IFERROR(INDEX(Source_Filaire!$A$2:$M$104,Source_Filaire!$U3,COLUMNS(Source_Filaire!$R$2:Z3)),"")</f>
        <v>TEL ou PC ou GSM</v>
      </c>
      <c r="J18" s="40" t="str">
        <f>IFERROR(INDEX(Source_Filaire!$A$2:$M$104,Source_Filaire!$U3,COLUMNS(Source_Filaire!$R$2:AA3)),"")</f>
        <v>2 ans</v>
      </c>
      <c r="K18" s="40">
        <f>IFERROR(INDEX(Source_Filaire!$A$2:$M$104,Source_Filaire!$U3,COLUMNS(Source_Filaire!$R$2:AB3)),"")</f>
        <v>0</v>
      </c>
      <c r="L18" s="40" t="str">
        <f>IFERROR(INDEX(Source_Filaire!$A$2:$M$104,Source_Filaire!$U3,COLUMNS(Source_Filaire!$R$2:AC3)),"")</f>
        <v>Serre-tête</v>
      </c>
      <c r="M18" s="40">
        <f>IFERROR(INDEX(Source_Filaire!$A$2:$M$104,Source_Filaire!$U3,COLUMNS(Source_Filaire!$R$2:AD3)),"")</f>
        <v>0</v>
      </c>
    </row>
    <row r="19" spans="1:13" x14ac:dyDescent="0.25">
      <c r="A19" s="8" t="str">
        <f>IFERROR(INDEX(Source_Filaire!$A$2:$M$104,Source_Filaire!$U4,COLUMNS(Source_Filaire!$R$2:R4)),"")</f>
        <v>JABRA</v>
      </c>
      <c r="B19" s="8" t="str">
        <f>IFERROR(INDEX(Source_Filaire!$A$2:$M$104,Source_Filaire!$U4,COLUMNS(Source_Filaire!$R$2:S4)),"")</f>
        <v>BIZ 2300 Mono</v>
      </c>
      <c r="C19" s="8" t="str">
        <f>IFERROR(INDEX(Source_Filaire!$A$2:$M$104,Source_Filaire!$U4,COLUMNS(Source_Filaire!$R$2:T4)),"")</f>
        <v>Filaire</v>
      </c>
      <c r="D19" s="8" t="str">
        <f>IFERROR(INDEX(Source_Filaire!$A$2:$M$104,Source_Filaire!$U4,COLUMNS(Source_Filaire!$R$2:U4)),"")</f>
        <v>2303-820-104</v>
      </c>
      <c r="E19" s="43">
        <f>IFERROR(INDEX(Source_Filaire!$A$2:$M$104,Source_Filaire!$U4,COLUMNS(Source_Filaire!$R$2:V4)),"")</f>
        <v>119</v>
      </c>
      <c r="F19" s="8" t="str">
        <f>IFERROR(INDEX(Source_Filaire!$A$2:$M$104,Source_Filaire!$U4,COLUMNS(Source_Filaire!$R$2:W4)),"")</f>
        <v>Mono</v>
      </c>
      <c r="G19" s="40" t="str">
        <f>IFERROR(INDEX(Source_Filaire!$A$2:$M$104,Source_Filaire!$U4,COLUMNS(Source_Filaire!$R$2:X4)),"")</f>
        <v>48g</v>
      </c>
      <c r="H19" s="40" t="str">
        <f>IFERROR(INDEX(Source_Filaire!$A$2:$M$104,Source_Filaire!$U4,COLUMNS(Source_Filaire!$R$2:Y4)),"")</f>
        <v>QD</v>
      </c>
      <c r="I19" s="40" t="str">
        <f>IFERROR(INDEX(Source_Filaire!$A$2:$M$104,Source_Filaire!$U4,COLUMNS(Source_Filaire!$R$2:Z4)),"")</f>
        <v>TEL ou PC ou GSM</v>
      </c>
      <c r="J19" s="40" t="str">
        <f>IFERROR(INDEX(Source_Filaire!$A$2:$M$104,Source_Filaire!$U4,COLUMNS(Source_Filaire!$R$2:AA4)),"")</f>
        <v>3 ans</v>
      </c>
      <c r="K19" s="40">
        <f>IFERROR(INDEX(Source_Filaire!$A$2:$M$104,Source_Filaire!$U4,COLUMNS(Source_Filaire!$R$2:AB4)),"")</f>
        <v>0</v>
      </c>
      <c r="L19" s="40" t="str">
        <f>IFERROR(INDEX(Source_Filaire!$A$2:$M$104,Source_Filaire!$U4,COLUMNS(Source_Filaire!$R$2:AC4)),"")</f>
        <v>Serre-tête</v>
      </c>
      <c r="M19" s="40" t="str">
        <f>IFERROR(INDEX(Source_Filaire!$A$2:$M$104,Source_Filaire!$U4,COLUMNS(Source_Filaire!$R$2:AD4)),"")</f>
        <v>Contour de nuque/Contour d'oreille</v>
      </c>
    </row>
    <row r="20" spans="1:13" x14ac:dyDescent="0.25">
      <c r="A20" s="8" t="str">
        <f>IFERROR(INDEX(Source_Filaire!$A$2:$M$104,Source_Filaire!$U5,COLUMNS(Source_Filaire!$R$2:R5)),"")</f>
        <v>JABRA</v>
      </c>
      <c r="B20" s="8" t="str">
        <f>IFERROR(INDEX(Source_Filaire!$A$2:$M$104,Source_Filaire!$U5,COLUMNS(Source_Filaire!$R$2:S5)),"")</f>
        <v>BIZ 2300 Duo</v>
      </c>
      <c r="C20" s="8" t="str">
        <f>IFERROR(INDEX(Source_Filaire!$A$2:$M$104,Source_Filaire!$U5,COLUMNS(Source_Filaire!$R$2:T5)),"")</f>
        <v>Filaire</v>
      </c>
      <c r="D20" s="8" t="str">
        <f>IFERROR(INDEX(Source_Filaire!$A$2:$M$104,Source_Filaire!$U5,COLUMNS(Source_Filaire!$R$2:U5)),"")</f>
        <v>2309-820-104</v>
      </c>
      <c r="E20" s="43">
        <f>IFERROR(INDEX(Source_Filaire!$A$2:$M$104,Source_Filaire!$U5,COLUMNS(Source_Filaire!$R$2:V5)),"")</f>
        <v>139</v>
      </c>
      <c r="F20" s="8" t="str">
        <f>IFERROR(INDEX(Source_Filaire!$A$2:$M$104,Source_Filaire!$U5,COLUMNS(Source_Filaire!$R$2:W5)),"")</f>
        <v>Bino</v>
      </c>
      <c r="G20" s="40" t="str">
        <f>IFERROR(INDEX(Source_Filaire!$A$2:$M$104,Source_Filaire!$U5,COLUMNS(Source_Filaire!$R$2:X5)),"")</f>
        <v>68g</v>
      </c>
      <c r="H20" s="40" t="str">
        <f>IFERROR(INDEX(Source_Filaire!$A$2:$M$104,Source_Filaire!$U5,COLUMNS(Source_Filaire!$R$2:Y5)),"")</f>
        <v>QD</v>
      </c>
      <c r="I20" s="40" t="str">
        <f>IFERROR(INDEX(Source_Filaire!$A$2:$M$104,Source_Filaire!$U5,COLUMNS(Source_Filaire!$R$2:Z5)),"")</f>
        <v>TEL ou PC ou GSM</v>
      </c>
      <c r="J20" s="40" t="str">
        <f>IFERROR(INDEX(Source_Filaire!$A$2:$M$104,Source_Filaire!$U5,COLUMNS(Source_Filaire!$R$2:AA5)),"")</f>
        <v>3 ans</v>
      </c>
      <c r="K20" s="40">
        <f>IFERROR(INDEX(Source_Filaire!$A$2:$M$104,Source_Filaire!$U5,COLUMNS(Source_Filaire!$R$2:AB5)),"")</f>
        <v>0</v>
      </c>
      <c r="L20" s="40" t="str">
        <f>IFERROR(INDEX(Source_Filaire!$A$2:$M$104,Source_Filaire!$U5,COLUMNS(Source_Filaire!$R$2:AC5)),"")</f>
        <v>Serre-tête</v>
      </c>
      <c r="M20" s="40">
        <f>IFERROR(INDEX(Source_Filaire!$A$2:$M$104,Source_Filaire!$U5,COLUMNS(Source_Filaire!$R$2:AD5)),"")</f>
        <v>0</v>
      </c>
    </row>
    <row r="21" spans="1:13" x14ac:dyDescent="0.25">
      <c r="A21" s="8" t="str">
        <f>IFERROR(INDEX(Source_Filaire!$A$2:$M$104,Source_Filaire!$U6,COLUMNS(Source_Filaire!$R$2:R6)),"")</f>
        <v>JABRA</v>
      </c>
      <c r="B21" s="8" t="str">
        <f>IFERROR(INDEX(Source_Filaire!$A$2:$M$104,Source_Filaire!$U6,COLUMNS(Source_Filaire!$R$2:S6)),"")</f>
        <v>BIZ 2400 II Mono</v>
      </c>
      <c r="C21" s="8" t="str">
        <f>IFERROR(INDEX(Source_Filaire!$A$2:$M$104,Source_Filaire!$U6,COLUMNS(Source_Filaire!$R$2:T6)),"")</f>
        <v>Filaire</v>
      </c>
      <c r="D21" s="8" t="str">
        <f>IFERROR(INDEX(Source_Filaire!$A$2:$M$104,Source_Filaire!$U6,COLUMNS(Source_Filaire!$R$2:U6)),"")</f>
        <v>2406-820-204</v>
      </c>
      <c r="E21" s="43">
        <f>IFERROR(INDEX(Source_Filaire!$A$2:$M$104,Source_Filaire!$U6,COLUMNS(Source_Filaire!$R$2:V6)),"")</f>
        <v>189</v>
      </c>
      <c r="F21" s="8" t="str">
        <f>IFERROR(INDEX(Source_Filaire!$A$2:$M$104,Source_Filaire!$U6,COLUMNS(Source_Filaire!$R$2:W6)),"")</f>
        <v>Mono</v>
      </c>
      <c r="G21" s="40" t="str">
        <f>IFERROR(INDEX(Source_Filaire!$A$2:$M$104,Source_Filaire!$U6,COLUMNS(Source_Filaire!$R$2:X6)),"")</f>
        <v>195g</v>
      </c>
      <c r="H21" s="40" t="str">
        <f>IFERROR(INDEX(Source_Filaire!$A$2:$M$104,Source_Filaire!$U6,COLUMNS(Source_Filaire!$R$2:Y6)),"")</f>
        <v>QD</v>
      </c>
      <c r="I21" s="40" t="str">
        <f>IFERROR(INDEX(Source_Filaire!$A$2:$M$104,Source_Filaire!$U6,COLUMNS(Source_Filaire!$R$2:Z6)),"")</f>
        <v>TEL ou PC ou GSM</v>
      </c>
      <c r="J21" s="40" t="str">
        <f>IFERROR(INDEX(Source_Filaire!$A$2:$M$104,Source_Filaire!$U6,COLUMNS(Source_Filaire!$R$2:AA6)),"")</f>
        <v>3 ans</v>
      </c>
      <c r="K21" s="40">
        <f>IFERROR(INDEX(Source_Filaire!$A$2:$M$104,Source_Filaire!$U6,COLUMNS(Source_Filaire!$R$2:AB6)),"")</f>
        <v>0</v>
      </c>
      <c r="L21" s="40" t="str">
        <f>IFERROR(INDEX(Source_Filaire!$A$2:$M$104,Source_Filaire!$U6,COLUMNS(Source_Filaire!$R$2:AC6)),"")</f>
        <v>Serre-tête</v>
      </c>
      <c r="M21" s="40" t="str">
        <f>IFERROR(INDEX(Source_Filaire!$A$2:$M$104,Source_Filaire!$U6,COLUMNS(Source_Filaire!$R$2:AD6)),"")</f>
        <v>Contour de nuque/Contour d'oreille</v>
      </c>
    </row>
    <row r="22" spans="1:13" x14ac:dyDescent="0.25">
      <c r="A22" s="8" t="str">
        <f>IFERROR(INDEX(Source_Filaire!$A$2:$M$104,Source_Filaire!$U7,COLUMNS(Source_Filaire!$R$2:R7)),"")</f>
        <v>JABRA</v>
      </c>
      <c r="B22" s="8" t="str">
        <f>IFERROR(INDEX(Source_Filaire!$A$2:$M$104,Source_Filaire!$U7,COLUMNS(Source_Filaire!$R$2:S7)),"")</f>
        <v>BIZ 2400 II Duo</v>
      </c>
      <c r="C22" s="8" t="str">
        <f>IFERROR(INDEX(Source_Filaire!$A$2:$M$104,Source_Filaire!$U7,COLUMNS(Source_Filaire!$R$2:T7)),"")</f>
        <v>Filaire</v>
      </c>
      <c r="D22" s="8" t="str">
        <f>IFERROR(INDEX(Source_Filaire!$A$2:$M$104,Source_Filaire!$U7,COLUMNS(Source_Filaire!$R$2:U7)),"")</f>
        <v>2409-820-204</v>
      </c>
      <c r="E22" s="43">
        <f>IFERROR(INDEX(Source_Filaire!$A$2:$M$104,Source_Filaire!$U7,COLUMNS(Source_Filaire!$R$2:V7)),"")</f>
        <v>199</v>
      </c>
      <c r="F22" s="8" t="str">
        <f>IFERROR(INDEX(Source_Filaire!$A$2:$M$104,Source_Filaire!$U7,COLUMNS(Source_Filaire!$R$2:W7)),"")</f>
        <v>Bino</v>
      </c>
      <c r="G22" s="40">
        <f>IFERROR(INDEX(Source_Filaire!$A$2:$M$104,Source_Filaire!$U7,COLUMNS(Source_Filaire!$R$2:X7)),"")</f>
        <v>0</v>
      </c>
      <c r="H22" s="40" t="str">
        <f>IFERROR(INDEX(Source_Filaire!$A$2:$M$104,Source_Filaire!$U7,COLUMNS(Source_Filaire!$R$2:Y7)),"")</f>
        <v>QD</v>
      </c>
      <c r="I22" s="40" t="str">
        <f>IFERROR(INDEX(Source_Filaire!$A$2:$M$104,Source_Filaire!$U7,COLUMNS(Source_Filaire!$R$2:Z7)),"")</f>
        <v>TEL ou PC ou GSM</v>
      </c>
      <c r="J22" s="40" t="str">
        <f>IFERROR(INDEX(Source_Filaire!$A$2:$M$104,Source_Filaire!$U7,COLUMNS(Source_Filaire!$R$2:AA7)),"")</f>
        <v>3 ans</v>
      </c>
      <c r="K22" s="40">
        <f>IFERROR(INDEX(Source_Filaire!$A$2:$M$104,Source_Filaire!$U7,COLUMNS(Source_Filaire!$R$2:AB7)),"")</f>
        <v>0</v>
      </c>
      <c r="L22" s="40" t="str">
        <f>IFERROR(INDEX(Source_Filaire!$A$2:$M$104,Source_Filaire!$U7,COLUMNS(Source_Filaire!$R$2:AC7)),"")</f>
        <v>Serre-tête</v>
      </c>
      <c r="M22" s="40">
        <f>IFERROR(INDEX(Source_Filaire!$A$2:$M$104,Source_Filaire!$U7,COLUMNS(Source_Filaire!$R$2:AD7)),"")</f>
        <v>0</v>
      </c>
    </row>
    <row r="23" spans="1:13" x14ac:dyDescent="0.25">
      <c r="A23" s="8" t="str">
        <f>IFERROR(INDEX(Source_Filaire!$A$2:$M$104,Source_Filaire!$U8,COLUMNS(Source_Filaire!$R$2:R8)),"")</f>
        <v xml:space="preserve">PLANTRONICS </v>
      </c>
      <c r="B23" s="44" t="str">
        <f>IFERROR(INDEX(Source_Filaire!$A$2:$M$104,Source_Filaire!$U8,COLUMNS(Source_Filaire!$R$2:S8)),"")</f>
        <v>ENTERA HW11N/A</v>
      </c>
      <c r="C23" s="8" t="str">
        <f>IFERROR(INDEX(Source_Filaire!$A$2:$M$104,Source_Filaire!$U8,COLUMNS(Source_Filaire!$R$2:T8)),"")</f>
        <v>Filaire</v>
      </c>
      <c r="D23" s="8" t="str">
        <f>IFERROR(INDEX(Source_Filaire!$A$2:$M$104,Source_Filaire!$U8,COLUMNS(Source_Filaire!$R$2:U8)),"")</f>
        <v>79180-03</v>
      </c>
      <c r="E23" s="43">
        <f>IFERROR(INDEX(Source_Filaire!$A$2:$M$104,Source_Filaire!$U8,COLUMNS(Source_Filaire!$R$2:V8)),"")</f>
        <v>79</v>
      </c>
      <c r="F23" s="8" t="str">
        <f>IFERROR(INDEX(Source_Filaire!$A$2:$M$104,Source_Filaire!$U8,COLUMNS(Source_Filaire!$R$2:W8)),"")</f>
        <v>Mono</v>
      </c>
      <c r="G23" s="40" t="str">
        <f>IFERROR(INDEX(Source_Filaire!$A$2:$M$104,Source_Filaire!$U8,COLUMNS(Source_Filaire!$R$2:X8)),"")</f>
        <v>60g</v>
      </c>
      <c r="H23" s="40" t="str">
        <f>IFERROR(INDEX(Source_Filaire!$A$2:$M$104,Source_Filaire!$U8,COLUMNS(Source_Filaire!$R$2:Y8)),"")</f>
        <v>QD</v>
      </c>
      <c r="I23" s="40" t="str">
        <f>IFERROR(INDEX(Source_Filaire!$A$2:$M$104,Source_Filaire!$U8,COLUMNS(Source_Filaire!$R$2:Z8)),"")</f>
        <v>TEL ou PC ou GSM</v>
      </c>
      <c r="J23" s="40" t="str">
        <f>IFERROR(INDEX(Source_Filaire!$A$2:$M$104,Source_Filaire!$U8,COLUMNS(Source_Filaire!$R$2:AA8)),"")</f>
        <v>2 ans</v>
      </c>
      <c r="K23" s="40">
        <f>IFERROR(INDEX(Source_Filaire!$A$2:$M$104,Source_Filaire!$U8,COLUMNS(Source_Filaire!$R$2:AB8)),"")</f>
        <v>0</v>
      </c>
      <c r="L23" s="40" t="str">
        <f>IFERROR(INDEX(Source_Filaire!$A$2:$M$104,Source_Filaire!$U8,COLUMNS(Source_Filaire!$R$2:AC8)),"")</f>
        <v>Serre-tête</v>
      </c>
      <c r="M23" s="40">
        <f>IFERROR(INDEX(Source_Filaire!$A$2:$M$104,Source_Filaire!$U8,COLUMNS(Source_Filaire!$R$2:AD8)),"")</f>
        <v>0</v>
      </c>
    </row>
    <row r="24" spans="1:13" x14ac:dyDescent="0.25">
      <c r="A24" s="8" t="str">
        <f>IFERROR(INDEX(Source_Filaire!$A$2:$M$104,Source_Filaire!$U9,COLUMNS(Source_Filaire!$R$2:R9)),"")</f>
        <v xml:space="preserve">PLANTRONICS </v>
      </c>
      <c r="B24" s="8" t="str">
        <f>IFERROR(INDEX(Source_Filaire!$A$2:$M$104,Source_Filaire!$U9,COLUMNS(Source_Filaire!$R$2:S9)),"")</f>
        <v>ENTERA HW121N/A</v>
      </c>
      <c r="C24" s="8" t="str">
        <f>IFERROR(INDEX(Source_Filaire!$A$2:$M$104,Source_Filaire!$U9,COLUMNS(Source_Filaire!$R$2:T9)),"")</f>
        <v>Filaire</v>
      </c>
      <c r="D24" s="8" t="str">
        <f>IFERROR(INDEX(Source_Filaire!$A$2:$M$104,Source_Filaire!$U9,COLUMNS(Source_Filaire!$R$2:U9)),"")</f>
        <v>79181-03</v>
      </c>
      <c r="E24" s="43">
        <f>IFERROR(INDEX(Source_Filaire!$A$2:$M$104,Source_Filaire!$U9,COLUMNS(Source_Filaire!$R$2:V9)),"")</f>
        <v>99</v>
      </c>
      <c r="F24" s="8" t="str">
        <f>IFERROR(INDEX(Source_Filaire!$A$2:$M$104,Source_Filaire!$U9,COLUMNS(Source_Filaire!$R$2:W9)),"")</f>
        <v>Bino</v>
      </c>
      <c r="G24" s="40" t="str">
        <f>IFERROR(INDEX(Source_Filaire!$A$2:$M$104,Source_Filaire!$U9,COLUMNS(Source_Filaire!$R$2:X9)),"")</f>
        <v>60g</v>
      </c>
      <c r="H24" s="40" t="str">
        <f>IFERROR(INDEX(Source_Filaire!$A$2:$M$104,Source_Filaire!$U9,COLUMNS(Source_Filaire!$R$2:Y9)),"")</f>
        <v>QD</v>
      </c>
      <c r="I24" s="40" t="str">
        <f>IFERROR(INDEX(Source_Filaire!$A$2:$M$104,Source_Filaire!$U9,COLUMNS(Source_Filaire!$R$2:Z9)),"")</f>
        <v>TEL ou PC ou GSM</v>
      </c>
      <c r="J24" s="40" t="str">
        <f>IFERROR(INDEX(Source_Filaire!$A$2:$M$104,Source_Filaire!$U9,COLUMNS(Source_Filaire!$R$2:AA9)),"")</f>
        <v>2 ans</v>
      </c>
      <c r="K24" s="40">
        <f>IFERROR(INDEX(Source_Filaire!$A$2:$M$104,Source_Filaire!$U9,COLUMNS(Source_Filaire!$R$2:AB9)),"")</f>
        <v>0</v>
      </c>
      <c r="L24" s="40" t="str">
        <f>IFERROR(INDEX(Source_Filaire!$A$2:$M$104,Source_Filaire!$U9,COLUMNS(Source_Filaire!$R$2:AC9)),"")</f>
        <v>Serre-tête</v>
      </c>
      <c r="M24" s="40">
        <f>IFERROR(INDEX(Source_Filaire!$A$2:$M$104,Source_Filaire!$U9,COLUMNS(Source_Filaire!$R$2:AD9)),"")</f>
        <v>0</v>
      </c>
    </row>
    <row r="25" spans="1:13" x14ac:dyDescent="0.25">
      <c r="A25" s="8" t="str">
        <f>IFERROR(INDEX(Source_Filaire!$A$2:$M$104,Source_Filaire!$U10,COLUMNS(Source_Filaire!$R$2:R10)),"")</f>
        <v xml:space="preserve">PLANTRONICS </v>
      </c>
      <c r="B25" s="8" t="str">
        <f>IFERROR(INDEX(Source_Filaire!$A$2:$M$104,Source_Filaire!$U10,COLUMNS(Source_Filaire!$R$2:S10)),"")</f>
        <v>Supraplus HW251N/A</v>
      </c>
      <c r="C25" s="8" t="str">
        <f>IFERROR(INDEX(Source_Filaire!$A$2:$M$104,Source_Filaire!$U10,COLUMNS(Source_Filaire!$R$2:T10)),"")</f>
        <v>Filaire</v>
      </c>
      <c r="D25" s="8" t="str">
        <f>IFERROR(INDEX(Source_Filaire!$A$2:$M$104,Source_Filaire!$U10,COLUMNS(Source_Filaire!$R$2:U10)),"")</f>
        <v>36832-41</v>
      </c>
      <c r="E25" s="43">
        <f>IFERROR(INDEX(Source_Filaire!$A$2:$M$104,Source_Filaire!$U10,COLUMNS(Source_Filaire!$R$2:V10)),"")</f>
        <v>129</v>
      </c>
      <c r="F25" s="8" t="str">
        <f>IFERROR(INDEX(Source_Filaire!$A$2:$M$104,Source_Filaire!$U10,COLUMNS(Source_Filaire!$R$2:W10)),"")</f>
        <v>Mono</v>
      </c>
      <c r="G25" s="40" t="str">
        <f>IFERROR(INDEX(Source_Filaire!$A$2:$M$104,Source_Filaire!$U10,COLUMNS(Source_Filaire!$R$2:X10)),"")</f>
        <v>49g</v>
      </c>
      <c r="H25" s="40" t="str">
        <f>IFERROR(INDEX(Source_Filaire!$A$2:$M$104,Source_Filaire!$U10,COLUMNS(Source_Filaire!$R$2:Y10)),"")</f>
        <v>QD</v>
      </c>
      <c r="I25" s="40" t="str">
        <f>IFERROR(INDEX(Source_Filaire!$A$2:$M$104,Source_Filaire!$U10,COLUMNS(Source_Filaire!$R$2:Z10)),"")</f>
        <v>TEL ou PC ou GSM</v>
      </c>
      <c r="J25" s="40" t="str">
        <f>IFERROR(INDEX(Source_Filaire!$A$2:$M$104,Source_Filaire!$U10,COLUMNS(Source_Filaire!$R$2:AA10)),"")</f>
        <v>2 ans</v>
      </c>
      <c r="K25" s="40">
        <f>IFERROR(INDEX(Source_Filaire!$A$2:$M$104,Source_Filaire!$U10,COLUMNS(Source_Filaire!$R$2:AB10)),"")</f>
        <v>0</v>
      </c>
      <c r="L25" s="40" t="str">
        <f>IFERROR(INDEX(Source_Filaire!$A$2:$M$104,Source_Filaire!$U10,COLUMNS(Source_Filaire!$R$2:AC10)),"")</f>
        <v>Serre-tête</v>
      </c>
      <c r="M25" s="40">
        <f>IFERROR(INDEX(Source_Filaire!$A$2:$M$104,Source_Filaire!$U10,COLUMNS(Source_Filaire!$R$2:AD10)),"")</f>
        <v>0</v>
      </c>
    </row>
    <row r="26" spans="1:13" x14ac:dyDescent="0.25">
      <c r="A26" s="8" t="str">
        <f>IFERROR(INDEX(Source_Filaire!$A$2:$M$104,Source_Filaire!$U11,COLUMNS(Source_Filaire!$R$2:R11)),"")</f>
        <v xml:space="preserve">PLANTRONICS </v>
      </c>
      <c r="B26" s="8" t="str">
        <f>IFERROR(INDEX(Source_Filaire!$A$2:$M$104,Source_Filaire!$U11,COLUMNS(Source_Filaire!$R$2:S11)),"")</f>
        <v>Supraplus HW261N/A</v>
      </c>
      <c r="C26" s="8" t="str">
        <f>IFERROR(INDEX(Source_Filaire!$A$2:$M$104,Source_Filaire!$U11,COLUMNS(Source_Filaire!$R$2:T11)),"")</f>
        <v>Filaire</v>
      </c>
      <c r="D26" s="8" t="str">
        <f>IFERROR(INDEX(Source_Filaire!$A$2:$M$104,Source_Filaire!$U11,COLUMNS(Source_Filaire!$R$2:U11)),"")</f>
        <v>36834-41</v>
      </c>
      <c r="E26" s="43">
        <f>IFERROR(INDEX(Source_Filaire!$A$2:$M$104,Source_Filaire!$U11,COLUMNS(Source_Filaire!$R$2:V11)),"")</f>
        <v>156</v>
      </c>
      <c r="F26" s="8" t="str">
        <f>IFERROR(INDEX(Source_Filaire!$A$2:$M$104,Source_Filaire!$U11,COLUMNS(Source_Filaire!$R$2:W11)),"")</f>
        <v>Bino</v>
      </c>
      <c r="G26" s="40" t="str">
        <f>IFERROR(INDEX(Source_Filaire!$A$2:$M$104,Source_Filaire!$U11,COLUMNS(Source_Filaire!$R$2:X11)),"")</f>
        <v>49g</v>
      </c>
      <c r="H26" s="40" t="str">
        <f>IFERROR(INDEX(Source_Filaire!$A$2:$M$104,Source_Filaire!$U11,COLUMNS(Source_Filaire!$R$2:Y11)),"")</f>
        <v>QD</v>
      </c>
      <c r="I26" s="40" t="str">
        <f>IFERROR(INDEX(Source_Filaire!$A$2:$M$104,Source_Filaire!$U11,COLUMNS(Source_Filaire!$R$2:Z11)),"")</f>
        <v>TEL ou PC ou GSM</v>
      </c>
      <c r="J26" s="40" t="str">
        <f>IFERROR(INDEX(Source_Filaire!$A$2:$M$104,Source_Filaire!$U11,COLUMNS(Source_Filaire!$R$2:AA11)),"")</f>
        <v>2 ans</v>
      </c>
      <c r="K26" s="40">
        <f>IFERROR(INDEX(Source_Filaire!$A$2:$M$104,Source_Filaire!$U11,COLUMNS(Source_Filaire!$R$2:AB11)),"")</f>
        <v>0</v>
      </c>
      <c r="L26" s="40" t="str">
        <f>IFERROR(INDEX(Source_Filaire!$A$2:$M$104,Source_Filaire!$U11,COLUMNS(Source_Filaire!$R$2:AC11)),"")</f>
        <v>Serre-tête</v>
      </c>
      <c r="M26" s="40">
        <f>IFERROR(INDEX(Source_Filaire!$A$2:$M$104,Source_Filaire!$U11,COLUMNS(Source_Filaire!$R$2:AD11)),"")</f>
        <v>0</v>
      </c>
    </row>
    <row r="27" spans="1:13" x14ac:dyDescent="0.25">
      <c r="A27" s="8" t="str">
        <f>IFERROR(INDEX(Source_Filaire!$A$2:$M$104,Source_Filaire!$U12,COLUMNS(Source_Filaire!$R$2:R12)),"")</f>
        <v xml:space="preserve">PLANTRONICS </v>
      </c>
      <c r="B27" s="8" t="str">
        <f>IFERROR(INDEX(Source_Filaire!$A$2:$M$104,Source_Filaire!$U12,COLUMNS(Source_Filaire!$R$2:S12)),"")</f>
        <v>Encore Pro 540</v>
      </c>
      <c r="C27" s="8" t="str">
        <f>IFERROR(INDEX(Source_Filaire!$A$2:$M$104,Source_Filaire!$U12,COLUMNS(Source_Filaire!$R$2:T12)),"")</f>
        <v>Filaire</v>
      </c>
      <c r="D27" s="8" t="str">
        <f>IFERROR(INDEX(Source_Filaire!$A$2:$M$104,Source_Filaire!$U12,COLUMNS(Source_Filaire!$R$2:U12)),"")</f>
        <v>88828-02</v>
      </c>
      <c r="E27" s="43">
        <f>IFERROR(INDEX(Source_Filaire!$A$2:$M$104,Source_Filaire!$U12,COLUMNS(Source_Filaire!$R$2:V12)),"")</f>
        <v>139</v>
      </c>
      <c r="F27" s="8" t="str">
        <f>IFERROR(INDEX(Source_Filaire!$A$2:$M$104,Source_Filaire!$U12,COLUMNS(Source_Filaire!$R$2:W12)),"")</f>
        <v>Mono</v>
      </c>
      <c r="G27" s="40" t="str">
        <f>IFERROR(INDEX(Source_Filaire!$A$2:$M$104,Source_Filaire!$U12,COLUMNS(Source_Filaire!$R$2:X12)),"")</f>
        <v>32g</v>
      </c>
      <c r="H27" s="40" t="str">
        <f>IFERROR(INDEX(Source_Filaire!$A$2:$M$104,Source_Filaire!$U12,COLUMNS(Source_Filaire!$R$2:Y12)),"")</f>
        <v>QD</v>
      </c>
      <c r="I27" s="40" t="str">
        <f>IFERROR(INDEX(Source_Filaire!$A$2:$M$104,Source_Filaire!$U12,COLUMNS(Source_Filaire!$R$2:Z12)),"")</f>
        <v>TEL ou PC ou GSM</v>
      </c>
      <c r="J27" s="40" t="str">
        <f>IFERROR(INDEX(Source_Filaire!$A$2:$M$104,Source_Filaire!$U12,COLUMNS(Source_Filaire!$R$2:AA12)),"")</f>
        <v>2 ans</v>
      </c>
      <c r="K27" s="40">
        <f>IFERROR(INDEX(Source_Filaire!$A$2:$M$104,Source_Filaire!$U12,COLUMNS(Source_Filaire!$R$2:AB12)),"")</f>
        <v>0</v>
      </c>
      <c r="L27" s="40" t="str">
        <f>IFERROR(INDEX(Source_Filaire!$A$2:$M$104,Source_Filaire!$U12,COLUMNS(Source_Filaire!$R$2:AC12)),"")</f>
        <v>Serre-tête/Contour d'oreille/Contour de nuque</v>
      </c>
      <c r="M27" s="40">
        <f>IFERROR(INDEX(Source_Filaire!$A$2:$M$104,Source_Filaire!$U12,COLUMNS(Source_Filaire!$R$2:AD12)),"")</f>
        <v>0</v>
      </c>
    </row>
    <row r="28" spans="1:13" x14ac:dyDescent="0.25">
      <c r="A28" s="8" t="str">
        <f>IFERROR(INDEX(Source_Filaire!$A$2:$M$104,Source_Filaire!$U13,COLUMNS(Source_Filaire!$R$2:R13)),"")</f>
        <v xml:space="preserve">PLANTRONICS </v>
      </c>
      <c r="B28" s="8" t="str">
        <f>IFERROR(INDEX(Source_Filaire!$A$2:$M$104,Source_Filaire!$U13,COLUMNS(Source_Filaire!$R$2:S13)),"")</f>
        <v>Encore Pro 530</v>
      </c>
      <c r="C28" s="8" t="str">
        <f>IFERROR(INDEX(Source_Filaire!$A$2:$M$104,Source_Filaire!$U13,COLUMNS(Source_Filaire!$R$2:T13)),"")</f>
        <v>Filaire</v>
      </c>
      <c r="D28" s="8" t="str">
        <f>IFERROR(INDEX(Source_Filaire!$A$2:$M$104,Source_Filaire!$U13,COLUMNS(Source_Filaire!$R$2:U13)),"")</f>
        <v>201500-02</v>
      </c>
      <c r="E28" s="43">
        <f>IFERROR(INDEX(Source_Filaire!$A$2:$M$104,Source_Filaire!$U13,COLUMNS(Source_Filaire!$R$2:V13)),"")</f>
        <v>125</v>
      </c>
      <c r="F28" s="8" t="str">
        <f>IFERROR(INDEX(Source_Filaire!$A$2:$M$104,Source_Filaire!$U13,COLUMNS(Source_Filaire!$R$2:W13)),"")</f>
        <v>Mono</v>
      </c>
      <c r="G28" s="40" t="str">
        <f>IFERROR(INDEX(Source_Filaire!$A$2:$M$104,Source_Filaire!$U13,COLUMNS(Source_Filaire!$R$2:X13)),"")</f>
        <v>26g</v>
      </c>
      <c r="H28" s="40" t="str">
        <f>IFERROR(INDEX(Source_Filaire!$A$2:$M$104,Source_Filaire!$U13,COLUMNS(Source_Filaire!$R$2:Y13)),"")</f>
        <v>QD</v>
      </c>
      <c r="I28" s="40" t="str">
        <f>IFERROR(INDEX(Source_Filaire!$A$2:$M$104,Source_Filaire!$U13,COLUMNS(Source_Filaire!$R$2:Z13)),"")</f>
        <v>TEL ou PC ou GSM</v>
      </c>
      <c r="J28" s="40" t="str">
        <f>IFERROR(INDEX(Source_Filaire!$A$2:$M$104,Source_Filaire!$U13,COLUMNS(Source_Filaire!$R$2:AA13)),"")</f>
        <v>2 ans</v>
      </c>
      <c r="K28" s="40">
        <f>IFERROR(INDEX(Source_Filaire!$A$2:$M$104,Source_Filaire!$U13,COLUMNS(Source_Filaire!$R$2:AB13)),"")</f>
        <v>0</v>
      </c>
      <c r="L28" s="40" t="str">
        <f>IFERROR(INDEX(Source_Filaire!$A$2:$M$104,Source_Filaire!$U13,COLUMNS(Source_Filaire!$R$2:AC13)),"")</f>
        <v>Serre-tête</v>
      </c>
      <c r="M28" s="40">
        <f>IFERROR(INDEX(Source_Filaire!$A$2:$M$104,Source_Filaire!$U13,COLUMNS(Source_Filaire!$R$2:AD13)),"")</f>
        <v>0</v>
      </c>
    </row>
    <row r="29" spans="1:13" x14ac:dyDescent="0.25">
      <c r="A29" s="8" t="str">
        <f>IFERROR(INDEX(Source_Filaire!$A$2:$M$104,Source_Filaire!$U14,COLUMNS(Source_Filaire!$R$2:R14)),"")</f>
        <v xml:space="preserve">PLANTRONICS </v>
      </c>
      <c r="B29" s="8" t="str">
        <f>IFERROR(INDEX(Source_Filaire!$A$2:$M$104,Source_Filaire!$U14,COLUMNS(Source_Filaire!$R$2:S14)),"")</f>
        <v>Encore Pro 510</v>
      </c>
      <c r="C29" s="8" t="str">
        <f>IFERROR(INDEX(Source_Filaire!$A$2:$M$104,Source_Filaire!$U14,COLUMNS(Source_Filaire!$R$2:T14)),"")</f>
        <v>Filaire</v>
      </c>
      <c r="D29" s="8" t="str">
        <f>IFERROR(INDEX(Source_Filaire!$A$2:$M$104,Source_Filaire!$U14,COLUMNS(Source_Filaire!$R$2:U14)),"")</f>
        <v>89433-02</v>
      </c>
      <c r="E29" s="43">
        <f>IFERROR(INDEX(Source_Filaire!$A$2:$M$104,Source_Filaire!$U14,COLUMNS(Source_Filaire!$R$2:V14)),"")</f>
        <v>95</v>
      </c>
      <c r="F29" s="8" t="str">
        <f>IFERROR(INDEX(Source_Filaire!$A$2:$M$104,Source_Filaire!$U14,COLUMNS(Source_Filaire!$R$2:W14)),"")</f>
        <v>Mono</v>
      </c>
      <c r="G29" s="40" t="str">
        <f>IFERROR(INDEX(Source_Filaire!$A$2:$M$104,Source_Filaire!$U14,COLUMNS(Source_Filaire!$R$2:X14)),"")</f>
        <v>52g</v>
      </c>
      <c r="H29" s="40" t="str">
        <f>IFERROR(INDEX(Source_Filaire!$A$2:$M$104,Source_Filaire!$U14,COLUMNS(Source_Filaire!$R$2:Y14)),"")</f>
        <v>QD</v>
      </c>
      <c r="I29" s="40" t="str">
        <f>IFERROR(INDEX(Source_Filaire!$A$2:$M$104,Source_Filaire!$U14,COLUMNS(Source_Filaire!$R$2:Z14)),"")</f>
        <v>TEL ou PC ou GSM</v>
      </c>
      <c r="J29" s="40" t="str">
        <f>IFERROR(INDEX(Source_Filaire!$A$2:$M$104,Source_Filaire!$U14,COLUMNS(Source_Filaire!$R$2:AA14)),"")</f>
        <v>2 ans</v>
      </c>
      <c r="K29" s="40">
        <f>IFERROR(INDEX(Source_Filaire!$A$2:$M$104,Source_Filaire!$U14,COLUMNS(Source_Filaire!$R$2:AB14)),"")</f>
        <v>0</v>
      </c>
      <c r="L29" s="40" t="str">
        <f>IFERROR(INDEX(Source_Filaire!$A$2:$M$104,Source_Filaire!$U14,COLUMNS(Source_Filaire!$R$2:AC14)),"")</f>
        <v>Serre-tête</v>
      </c>
      <c r="M29" s="40">
        <f>IFERROR(INDEX(Source_Filaire!$A$2:$M$104,Source_Filaire!$U14,COLUMNS(Source_Filaire!$R$2:AD14)),"")</f>
        <v>0</v>
      </c>
    </row>
    <row r="30" spans="1:13" x14ac:dyDescent="0.25">
      <c r="A30" s="8" t="str">
        <f>IFERROR(INDEX(Source_Filaire!$A$2:$M$104,Source_Filaire!$U15,COLUMNS(Source_Filaire!$R$2:R15)),"")</f>
        <v xml:space="preserve">PLANTRONICS </v>
      </c>
      <c r="B30" s="8" t="str">
        <f>IFERROR(INDEX(Source_Filaire!$A$2:$M$104,Source_Filaire!$U15,COLUMNS(Source_Filaire!$R$2:S15)),"")</f>
        <v>Encore Pro 520</v>
      </c>
      <c r="C30" s="8" t="str">
        <f>IFERROR(INDEX(Source_Filaire!$A$2:$M$104,Source_Filaire!$U15,COLUMNS(Source_Filaire!$R$2:T15)),"")</f>
        <v>Filaire</v>
      </c>
      <c r="D30" s="8" t="str">
        <f>IFERROR(INDEX(Source_Filaire!$A$2:$M$104,Source_Filaire!$U15,COLUMNS(Source_Filaire!$R$2:U15)),"")</f>
        <v>89434-02</v>
      </c>
      <c r="E30" s="43">
        <f>IFERROR(INDEX(Source_Filaire!$A$2:$M$104,Source_Filaire!$U15,COLUMNS(Source_Filaire!$R$2:V15)),"")</f>
        <v>159</v>
      </c>
      <c r="F30" s="8" t="str">
        <f>IFERROR(INDEX(Source_Filaire!$A$2:$M$104,Source_Filaire!$U15,COLUMNS(Source_Filaire!$R$2:W15)),"")</f>
        <v>Bino</v>
      </c>
      <c r="G30" s="40" t="str">
        <f>IFERROR(INDEX(Source_Filaire!$A$2:$M$104,Source_Filaire!$U15,COLUMNS(Source_Filaire!$R$2:X15)),"")</f>
        <v>74g</v>
      </c>
      <c r="H30" s="40" t="str">
        <f>IFERROR(INDEX(Source_Filaire!$A$2:$M$104,Source_Filaire!$U15,COLUMNS(Source_Filaire!$R$2:Y15)),"")</f>
        <v>QD</v>
      </c>
      <c r="I30" s="40" t="str">
        <f>IFERROR(INDEX(Source_Filaire!$A$2:$M$104,Source_Filaire!$U15,COLUMNS(Source_Filaire!$R$2:Z15)),"")</f>
        <v>TEL ou PC ou GSM</v>
      </c>
      <c r="J30" s="40" t="str">
        <f>IFERROR(INDEX(Source_Filaire!$A$2:$M$104,Source_Filaire!$U15,COLUMNS(Source_Filaire!$R$2:AA15)),"")</f>
        <v>2 ans</v>
      </c>
      <c r="K30" s="40">
        <f>IFERROR(INDEX(Source_Filaire!$A$2:$M$104,Source_Filaire!$U15,COLUMNS(Source_Filaire!$R$2:AB15)),"")</f>
        <v>0</v>
      </c>
      <c r="L30" s="40" t="str">
        <f>IFERROR(INDEX(Source_Filaire!$A$2:$M$104,Source_Filaire!$U15,COLUMNS(Source_Filaire!$R$2:AC15)),"")</f>
        <v>Serre-tête</v>
      </c>
      <c r="M30" s="40">
        <f>IFERROR(INDEX(Source_Filaire!$A$2:$M$104,Source_Filaire!$U15,COLUMNS(Source_Filaire!$R$2:AD15)),"")</f>
        <v>0</v>
      </c>
    </row>
    <row r="31" spans="1:13" x14ac:dyDescent="0.25">
      <c r="A31" s="8" t="str">
        <f>IFERROR(INDEX(Source_Filaire!$A$2:$M$104,Source_Filaire!$U16,COLUMNS(Source_Filaire!$R$2:R16)),"")</f>
        <v xml:space="preserve">PLANTRONICS </v>
      </c>
      <c r="B31" s="8" t="str">
        <f>IFERROR(INDEX(Source_Filaire!$A$2:$M$104,Source_Filaire!$U16,COLUMNS(Source_Filaire!$R$2:S16)),"")</f>
        <v>Encore Pro 710</v>
      </c>
      <c r="C31" s="8" t="str">
        <f>IFERROR(INDEX(Source_Filaire!$A$2:$M$104,Source_Filaire!$U16,COLUMNS(Source_Filaire!$R$2:T16)),"")</f>
        <v>Filaire</v>
      </c>
      <c r="D31" s="8" t="str">
        <f>IFERROR(INDEX(Source_Filaire!$A$2:$M$104,Source_Filaire!$U16,COLUMNS(Source_Filaire!$R$2:U16)),"")</f>
        <v>78712-102</v>
      </c>
      <c r="E31" s="43">
        <f>IFERROR(INDEX(Source_Filaire!$A$2:$M$104,Source_Filaire!$U16,COLUMNS(Source_Filaire!$R$2:V16)),"")</f>
        <v>159</v>
      </c>
      <c r="F31" s="8" t="str">
        <f>IFERROR(INDEX(Source_Filaire!$A$2:$M$104,Source_Filaire!$U16,COLUMNS(Source_Filaire!$R$2:W16)),"")</f>
        <v>Mono</v>
      </c>
      <c r="G31" s="40" t="str">
        <f>IFERROR(INDEX(Source_Filaire!$A$2:$M$104,Source_Filaire!$U16,COLUMNS(Source_Filaire!$R$2:X16)),"")</f>
        <v>43,5g</v>
      </c>
      <c r="H31" s="40" t="str">
        <f>IFERROR(INDEX(Source_Filaire!$A$2:$M$104,Source_Filaire!$U16,COLUMNS(Source_Filaire!$R$2:Y16)),"")</f>
        <v>QD</v>
      </c>
      <c r="I31" s="40" t="str">
        <f>IFERROR(INDEX(Source_Filaire!$A$2:$M$104,Source_Filaire!$U16,COLUMNS(Source_Filaire!$R$2:Z16)),"")</f>
        <v>TEL ou PC ou GSM</v>
      </c>
      <c r="J31" s="40" t="str">
        <f>IFERROR(INDEX(Source_Filaire!$A$2:$M$104,Source_Filaire!$U16,COLUMNS(Source_Filaire!$R$2:AA16)),"")</f>
        <v>3 ans</v>
      </c>
      <c r="K31" s="40">
        <f>IFERROR(INDEX(Source_Filaire!$A$2:$M$104,Source_Filaire!$U16,COLUMNS(Source_Filaire!$R$2:AB16)),"")</f>
        <v>0</v>
      </c>
      <c r="L31" s="40" t="str">
        <f>IFERROR(INDEX(Source_Filaire!$A$2:$M$104,Source_Filaire!$U16,COLUMNS(Source_Filaire!$R$2:AC16)),"")</f>
        <v>Serre-tête</v>
      </c>
      <c r="M31" s="40">
        <f>IFERROR(INDEX(Source_Filaire!$A$2:$M$104,Source_Filaire!$U16,COLUMNS(Source_Filaire!$R$2:AD16)),"")</f>
        <v>0</v>
      </c>
    </row>
    <row r="32" spans="1:13" x14ac:dyDescent="0.25">
      <c r="A32" s="8" t="str">
        <f>IFERROR(INDEX(Source_Filaire!$A$2:$M$104,Source_Filaire!$U17,COLUMNS(Source_Filaire!$R$2:R17)),"")</f>
        <v xml:space="preserve">PLANTRONICS </v>
      </c>
      <c r="B32" s="8" t="str">
        <f>IFERROR(INDEX(Source_Filaire!$A$2:$M$104,Source_Filaire!$U17,COLUMNS(Source_Filaire!$R$2:S17)),"")</f>
        <v>Encore Pro 720</v>
      </c>
      <c r="C32" s="8" t="str">
        <f>IFERROR(INDEX(Source_Filaire!$A$2:$M$104,Source_Filaire!$U17,COLUMNS(Source_Filaire!$R$2:T17)),"")</f>
        <v>Filaire</v>
      </c>
      <c r="D32" s="8" t="str">
        <f>IFERROR(INDEX(Source_Filaire!$A$2:$M$104,Source_Filaire!$U17,COLUMNS(Source_Filaire!$R$2:U17)),"")</f>
        <v>78714-102</v>
      </c>
      <c r="E32" s="43">
        <f>IFERROR(INDEX(Source_Filaire!$A$2:$M$104,Source_Filaire!$U17,COLUMNS(Source_Filaire!$R$2:V17)),"")</f>
        <v>179</v>
      </c>
      <c r="F32" s="8" t="str">
        <f>IFERROR(INDEX(Source_Filaire!$A$2:$M$104,Source_Filaire!$U17,COLUMNS(Source_Filaire!$R$2:W17)),"")</f>
        <v>Bino</v>
      </c>
      <c r="G32" s="40" t="str">
        <f>IFERROR(INDEX(Source_Filaire!$A$2:$M$104,Source_Filaire!$U17,COLUMNS(Source_Filaire!$R$2:X17)),"")</f>
        <v>61,5g</v>
      </c>
      <c r="H32" s="40" t="str">
        <f>IFERROR(INDEX(Source_Filaire!$A$2:$M$104,Source_Filaire!$U17,COLUMNS(Source_Filaire!$R$2:Y17)),"")</f>
        <v>QD</v>
      </c>
      <c r="I32" s="40" t="str">
        <f>IFERROR(INDEX(Source_Filaire!$A$2:$M$104,Source_Filaire!$U17,COLUMNS(Source_Filaire!$R$2:Z17)),"")</f>
        <v>TEL ou PC ou GSM</v>
      </c>
      <c r="J32" s="40" t="str">
        <f>IFERROR(INDEX(Source_Filaire!$A$2:$M$104,Source_Filaire!$U17,COLUMNS(Source_Filaire!$R$2:AA17)),"")</f>
        <v>3 ans</v>
      </c>
      <c r="K32" s="40">
        <f>IFERROR(INDEX(Source_Filaire!$A$2:$M$104,Source_Filaire!$U17,COLUMNS(Source_Filaire!$R$2:AB17)),"")</f>
        <v>0</v>
      </c>
      <c r="L32" s="40" t="str">
        <f>IFERROR(INDEX(Source_Filaire!$A$2:$M$104,Source_Filaire!$U17,COLUMNS(Source_Filaire!$R$2:AC17)),"")</f>
        <v>Serre-tête</v>
      </c>
      <c r="M32" s="40">
        <f>IFERROR(INDEX(Source_Filaire!$A$2:$M$104,Source_Filaire!$U17,COLUMNS(Source_Filaire!$R$2:AD17)),"")</f>
        <v>0</v>
      </c>
    </row>
    <row r="33" spans="1:13" x14ac:dyDescent="0.25">
      <c r="A33" s="8" t="str">
        <f>IFERROR(INDEX(Source_Filaire!$A$2:$M$104,Source_Filaire!$U18,COLUMNS(Source_Filaire!$R$2:R18)),"")</f>
        <v>SENNHEISER</v>
      </c>
      <c r="B33" s="8" t="str">
        <f>IFERROR(INDEX(Source_Filaire!$A$2:$M$104,Source_Filaire!$U18,COLUMNS(Source_Filaire!$R$2:S18)),"")</f>
        <v>SC 630</v>
      </c>
      <c r="C33" s="8" t="str">
        <f>IFERROR(INDEX(Source_Filaire!$A$2:$M$104,Source_Filaire!$U18,COLUMNS(Source_Filaire!$R$2:T18)),"")</f>
        <v>Filaire</v>
      </c>
      <c r="D33" s="8">
        <f>IFERROR(INDEX(Source_Filaire!$A$2:$M$104,Source_Filaire!$U18,COLUMNS(Source_Filaire!$R$2:U18)),"")</f>
        <v>504556</v>
      </c>
      <c r="E33" s="43">
        <f>IFERROR(INDEX(Source_Filaire!$A$2:$M$104,Source_Filaire!$U18,COLUMNS(Source_Filaire!$R$2:V18)),"")</f>
        <v>124</v>
      </c>
      <c r="F33" s="8" t="str">
        <f>IFERROR(INDEX(Source_Filaire!$A$2:$M$104,Source_Filaire!$U18,COLUMNS(Source_Filaire!$R$2:W18)),"")</f>
        <v>Mono</v>
      </c>
      <c r="G33" s="40" t="str">
        <f>IFERROR(INDEX(Source_Filaire!$A$2:$M$104,Source_Filaire!$U18,COLUMNS(Source_Filaire!$R$2:X18)),"")</f>
        <v>77g</v>
      </c>
      <c r="H33" s="40" t="str">
        <f>IFERROR(INDEX(Source_Filaire!$A$2:$M$104,Source_Filaire!$U18,COLUMNS(Source_Filaire!$R$2:Y18)),"")</f>
        <v>QD</v>
      </c>
      <c r="I33" s="40" t="str">
        <f>IFERROR(INDEX(Source_Filaire!$A$2:$M$104,Source_Filaire!$U18,COLUMNS(Source_Filaire!$R$2:Z18)),"")</f>
        <v>TEL ou PC ou GSM</v>
      </c>
      <c r="J33" s="40" t="str">
        <f>IFERROR(INDEX(Source_Filaire!$A$2:$M$104,Source_Filaire!$U18,COLUMNS(Source_Filaire!$R$2:AA18)),"")</f>
        <v>2 ans</v>
      </c>
      <c r="K33" s="40">
        <f>IFERROR(INDEX(Source_Filaire!$A$2:$M$104,Source_Filaire!$U18,COLUMNS(Source_Filaire!$R$2:AB18)),"")</f>
        <v>0</v>
      </c>
      <c r="L33" s="40" t="str">
        <f>IFERROR(INDEX(Source_Filaire!$A$2:$M$104,Source_Filaire!$U18,COLUMNS(Source_Filaire!$R$2:AC18)),"")</f>
        <v>Serre-tête</v>
      </c>
      <c r="M33" s="40">
        <f>IFERROR(INDEX(Source_Filaire!$A$2:$M$104,Source_Filaire!$U18,COLUMNS(Source_Filaire!$R$2:AD18)),"")</f>
        <v>0</v>
      </c>
    </row>
    <row r="34" spans="1:13" x14ac:dyDescent="0.25">
      <c r="A34" s="8" t="str">
        <f>IFERROR(INDEX(Source_Filaire!$A$2:$M$104,Source_Filaire!$U19,COLUMNS(Source_Filaire!$R$2:R19)),"")</f>
        <v>SENNHEISER</v>
      </c>
      <c r="B34" s="8" t="str">
        <f>IFERROR(INDEX(Source_Filaire!$A$2:$M$104,Source_Filaire!$U19,COLUMNS(Source_Filaire!$R$2:S19)),"")</f>
        <v>SC 660</v>
      </c>
      <c r="C34" s="8" t="str">
        <f>IFERROR(INDEX(Source_Filaire!$A$2:$M$104,Source_Filaire!$U19,COLUMNS(Source_Filaire!$R$2:T19)),"")</f>
        <v>Filaire</v>
      </c>
      <c r="D34" s="8">
        <f>IFERROR(INDEX(Source_Filaire!$A$2:$M$104,Source_Filaire!$U19,COLUMNS(Source_Filaire!$R$2:U19)),"")</f>
        <v>504557</v>
      </c>
      <c r="E34" s="43">
        <f>IFERROR(INDEX(Source_Filaire!$A$2:$M$104,Source_Filaire!$U19,COLUMNS(Source_Filaire!$R$2:V19)),"")</f>
        <v>209</v>
      </c>
      <c r="F34" s="8" t="str">
        <f>IFERROR(INDEX(Source_Filaire!$A$2:$M$104,Source_Filaire!$U19,COLUMNS(Source_Filaire!$R$2:W19)),"")</f>
        <v>Bino</v>
      </c>
      <c r="G34" s="40" t="str">
        <f>IFERROR(INDEX(Source_Filaire!$A$2:$M$104,Source_Filaire!$U19,COLUMNS(Source_Filaire!$R$2:X19)),"")</f>
        <v>110g</v>
      </c>
      <c r="H34" s="40" t="str">
        <f>IFERROR(INDEX(Source_Filaire!$A$2:$M$104,Source_Filaire!$U19,COLUMNS(Source_Filaire!$R$2:Y19)),"")</f>
        <v>QD</v>
      </c>
      <c r="I34" s="40" t="str">
        <f>IFERROR(INDEX(Source_Filaire!$A$2:$M$104,Source_Filaire!$U19,COLUMNS(Source_Filaire!$R$2:Z19)),"")</f>
        <v>TEL ou PC ou GSM</v>
      </c>
      <c r="J34" s="40" t="str">
        <f>IFERROR(INDEX(Source_Filaire!$A$2:$M$104,Source_Filaire!$U19,COLUMNS(Source_Filaire!$R$2:AA19)),"")</f>
        <v>2 ans</v>
      </c>
      <c r="K34" s="40">
        <f>IFERROR(INDEX(Source_Filaire!$A$2:$M$104,Source_Filaire!$U19,COLUMNS(Source_Filaire!$R$2:AB19)),"")</f>
        <v>0</v>
      </c>
      <c r="L34" s="40" t="str">
        <f>IFERROR(INDEX(Source_Filaire!$A$2:$M$104,Source_Filaire!$U19,COLUMNS(Source_Filaire!$R$2:AC19)),"")</f>
        <v>Serre-tête</v>
      </c>
      <c r="M34" s="40">
        <f>IFERROR(INDEX(Source_Filaire!$A$2:$M$104,Source_Filaire!$U19,COLUMNS(Source_Filaire!$R$2:AD19)),"")</f>
        <v>0</v>
      </c>
    </row>
    <row r="35" spans="1:13" x14ac:dyDescent="0.25">
      <c r="A35" s="8" t="str">
        <f>IFERROR(INDEX(Source_Filaire!$A$2:$M$104,Source_Filaire!$U20,COLUMNS(Source_Filaire!$R$2:R20)),"")</f>
        <v>SENNHEISER</v>
      </c>
      <c r="B35" s="8" t="str">
        <f>IFERROR(INDEX(Source_Filaire!$A$2:$M$104,Source_Filaire!$U20,COLUMNS(Source_Filaire!$R$2:S20)),"")</f>
        <v>SC 230</v>
      </c>
      <c r="C35" s="8" t="str">
        <f>IFERROR(INDEX(Source_Filaire!$A$2:$M$104,Source_Filaire!$U20,COLUMNS(Source_Filaire!$R$2:T20)),"")</f>
        <v>Filaire</v>
      </c>
      <c r="D35" s="8">
        <f>IFERROR(INDEX(Source_Filaire!$A$2:$M$104,Source_Filaire!$U20,COLUMNS(Source_Filaire!$R$2:U20)),"")</f>
        <v>504401</v>
      </c>
      <c r="E35" s="43">
        <f>IFERROR(INDEX(Source_Filaire!$A$2:$M$104,Source_Filaire!$U20,COLUMNS(Source_Filaire!$R$2:V20)),"")</f>
        <v>100</v>
      </c>
      <c r="F35" s="8" t="str">
        <f>IFERROR(INDEX(Source_Filaire!$A$2:$M$104,Source_Filaire!$U20,COLUMNS(Source_Filaire!$R$2:W20)),"")</f>
        <v>Mono</v>
      </c>
      <c r="G35" s="40" t="str">
        <f>IFERROR(INDEX(Source_Filaire!$A$2:$M$104,Source_Filaire!$U20,COLUMNS(Source_Filaire!$R$2:X20)),"")</f>
        <v>58g</v>
      </c>
      <c r="H35" s="40" t="str">
        <f>IFERROR(INDEX(Source_Filaire!$A$2:$M$104,Source_Filaire!$U20,COLUMNS(Source_Filaire!$R$2:Y20)),"")</f>
        <v>QD</v>
      </c>
      <c r="I35" s="40" t="str">
        <f>IFERROR(INDEX(Source_Filaire!$A$2:$M$104,Source_Filaire!$U20,COLUMNS(Source_Filaire!$R$2:Z20)),"")</f>
        <v>TEL ou PC ou GSM</v>
      </c>
      <c r="J35" s="40" t="str">
        <f>IFERROR(INDEX(Source_Filaire!$A$2:$M$104,Source_Filaire!$U20,COLUMNS(Source_Filaire!$R$2:AA20)),"")</f>
        <v>2 ans</v>
      </c>
      <c r="K35" s="40">
        <f>IFERROR(INDEX(Source_Filaire!$A$2:$M$104,Source_Filaire!$U20,COLUMNS(Source_Filaire!$R$2:AB20)),"")</f>
        <v>0</v>
      </c>
      <c r="L35" s="40" t="str">
        <f>IFERROR(INDEX(Source_Filaire!$A$2:$M$104,Source_Filaire!$U20,COLUMNS(Source_Filaire!$R$2:AC20)),"")</f>
        <v>Serre-tête</v>
      </c>
      <c r="M35" s="40">
        <f>IFERROR(INDEX(Source_Filaire!$A$2:$M$104,Source_Filaire!$U20,COLUMNS(Source_Filaire!$R$2:AD20)),"")</f>
        <v>0</v>
      </c>
    </row>
    <row r="36" spans="1:13" x14ac:dyDescent="0.25">
      <c r="A36" s="8" t="str">
        <f>IFERROR(INDEX(Source_Filaire!$A$2:$M$104,Source_Filaire!$U21,COLUMNS(Source_Filaire!$R$2:R21)),"")</f>
        <v>SENNHEISER</v>
      </c>
      <c r="B36" s="8" t="str">
        <f>IFERROR(INDEX(Source_Filaire!$A$2:$M$104,Source_Filaire!$U21,COLUMNS(Source_Filaire!$R$2:S21)),"")</f>
        <v>SC 260</v>
      </c>
      <c r="C36" s="8" t="str">
        <f>IFERROR(INDEX(Source_Filaire!$A$2:$M$104,Source_Filaire!$U21,COLUMNS(Source_Filaire!$R$2:T21)),"")</f>
        <v>Filaire</v>
      </c>
      <c r="D36" s="8">
        <f>IFERROR(INDEX(Source_Filaire!$A$2:$M$104,Source_Filaire!$U21,COLUMNS(Source_Filaire!$R$2:U21)),"")</f>
        <v>504402</v>
      </c>
      <c r="E36" s="43">
        <f>IFERROR(INDEX(Source_Filaire!$A$2:$M$104,Source_Filaire!$U21,COLUMNS(Source_Filaire!$R$2:V21)),"")</f>
        <v>82.9</v>
      </c>
      <c r="F36" s="8" t="str">
        <f>IFERROR(INDEX(Source_Filaire!$A$2:$M$104,Source_Filaire!$U21,COLUMNS(Source_Filaire!$R$2:W21)),"")</f>
        <v>Bino</v>
      </c>
      <c r="G36" s="40" t="str">
        <f>IFERROR(INDEX(Source_Filaire!$A$2:$M$104,Source_Filaire!$U21,COLUMNS(Source_Filaire!$R$2:X21)),"")</f>
        <v>86g</v>
      </c>
      <c r="H36" s="40" t="str">
        <f>IFERROR(INDEX(Source_Filaire!$A$2:$M$104,Source_Filaire!$U21,COLUMNS(Source_Filaire!$R$2:Y21)),"")</f>
        <v>QD</v>
      </c>
      <c r="I36" s="40" t="str">
        <f>IFERROR(INDEX(Source_Filaire!$A$2:$M$104,Source_Filaire!$U21,COLUMNS(Source_Filaire!$R$2:Z21)),"")</f>
        <v>TEL ou PC ou GSM</v>
      </c>
      <c r="J36" s="40" t="str">
        <f>IFERROR(INDEX(Source_Filaire!$A$2:$M$104,Source_Filaire!$U21,COLUMNS(Source_Filaire!$R$2:AA21)),"")</f>
        <v>2 ans</v>
      </c>
      <c r="K36" s="40">
        <f>IFERROR(INDEX(Source_Filaire!$A$2:$M$104,Source_Filaire!$U21,COLUMNS(Source_Filaire!$R$2:AB21)),"")</f>
        <v>0</v>
      </c>
      <c r="L36" s="40" t="str">
        <f>IFERROR(INDEX(Source_Filaire!$A$2:$M$104,Source_Filaire!$U21,COLUMNS(Source_Filaire!$R$2:AC21)),"")</f>
        <v>Serre-tête</v>
      </c>
      <c r="M36" s="40">
        <f>IFERROR(INDEX(Source_Filaire!$A$2:$M$104,Source_Filaire!$U21,COLUMNS(Source_Filaire!$R$2:AD21)),"")</f>
        <v>0</v>
      </c>
    </row>
    <row r="37" spans="1:13" x14ac:dyDescent="0.25">
      <c r="A37" s="8" t="str">
        <f>IFERROR(INDEX(Source_Filaire!$A$2:$M$104,Source_Filaire!$U22,COLUMNS(Source_Filaire!$R$2:R22)),"")</f>
        <v>JABRA</v>
      </c>
      <c r="B37" s="8" t="str">
        <f>IFERROR(INDEX(Source_Filaire!$A$2:$M$104,Source_Filaire!$U22,COLUMNS(Source_Filaire!$R$2:S22)),"")</f>
        <v>Evolve 20 UC Mono</v>
      </c>
      <c r="C37" s="8" t="str">
        <f>IFERROR(INDEX(Source_Filaire!$A$2:$M$104,Source_Filaire!$U22,COLUMNS(Source_Filaire!$R$2:T22)),"")</f>
        <v>Filaire</v>
      </c>
      <c r="D37" s="8" t="str">
        <f>IFERROR(INDEX(Source_Filaire!$A$2:$M$104,Source_Filaire!$U22,COLUMNS(Source_Filaire!$R$2:U22)),"")</f>
        <v>4993-829-209</v>
      </c>
      <c r="E37" s="43">
        <f>IFERROR(INDEX(Source_Filaire!$A$2:$M$104,Source_Filaire!$U22,COLUMNS(Source_Filaire!$R$2:V22)),"")</f>
        <v>40</v>
      </c>
      <c r="F37" s="8" t="str">
        <f>IFERROR(INDEX(Source_Filaire!$A$2:$M$104,Source_Filaire!$U22,COLUMNS(Source_Filaire!$R$2:W22)),"")</f>
        <v>Mono</v>
      </c>
      <c r="G37" s="40">
        <f>IFERROR(INDEX(Source_Filaire!$A$2:$M$104,Source_Filaire!$U22,COLUMNS(Source_Filaire!$R$2:X22)),"")</f>
        <v>0</v>
      </c>
      <c r="H37" s="40" t="str">
        <f>IFERROR(INDEX(Source_Filaire!$A$2:$M$104,Source_Filaire!$U22,COLUMNS(Source_Filaire!$R$2:Y22)),"")</f>
        <v>USB</v>
      </c>
      <c r="I37" s="40" t="str">
        <f>IFERROR(INDEX(Source_Filaire!$A$2:$M$104,Source_Filaire!$U22,COLUMNS(Source_Filaire!$R$2:Z22)),"")</f>
        <v>PC</v>
      </c>
      <c r="J37" s="40" t="str">
        <f>IFERROR(INDEX(Source_Filaire!$A$2:$M$104,Source_Filaire!$U22,COLUMNS(Source_Filaire!$R$2:AA22)),"")</f>
        <v>2 ans</v>
      </c>
      <c r="K37" s="40" t="str">
        <f>IFERROR(INDEX(Source_Filaire!$A$2:$M$104,Source_Filaire!$U22,COLUMNS(Source_Filaire!$R$2:AB22)),"")</f>
        <v>Non</v>
      </c>
      <c r="L37" s="40" t="str">
        <f>IFERROR(INDEX(Source_Filaire!$A$2:$M$104,Source_Filaire!$U22,COLUMNS(Source_Filaire!$R$2:AC22)),"")</f>
        <v>Serre-tête</v>
      </c>
      <c r="M37" s="40">
        <f>IFERROR(INDEX(Source_Filaire!$A$2:$M$104,Source_Filaire!$U22,COLUMNS(Source_Filaire!$R$2:AD22)),"")</f>
        <v>0</v>
      </c>
    </row>
    <row r="38" spans="1:13" x14ac:dyDescent="0.25">
      <c r="A38" s="8" t="str">
        <f>IFERROR(INDEX(Source_Filaire!$A$2:$M$104,Source_Filaire!$U23,COLUMNS(Source_Filaire!$R$2:R23)),"")</f>
        <v>JABRA</v>
      </c>
      <c r="B38" s="8" t="str">
        <f>IFERROR(INDEX(Source_Filaire!$A$2:$M$104,Source_Filaire!$U23,COLUMNS(Source_Filaire!$R$2:S23)),"")</f>
        <v>Evolve 20 UC Bino</v>
      </c>
      <c r="C38" s="8" t="str">
        <f>IFERROR(INDEX(Source_Filaire!$A$2:$M$104,Source_Filaire!$U23,COLUMNS(Source_Filaire!$R$2:T23)),"")</f>
        <v>Filaire</v>
      </c>
      <c r="D38" s="8" t="str">
        <f>IFERROR(INDEX(Source_Filaire!$A$2:$M$104,Source_Filaire!$U23,COLUMNS(Source_Filaire!$R$2:U23)),"")</f>
        <v>4999-829-209</v>
      </c>
      <c r="E38" s="43">
        <f>IFERROR(INDEX(Source_Filaire!$A$2:$M$104,Source_Filaire!$U23,COLUMNS(Source_Filaire!$R$2:V23)),"")</f>
        <v>37</v>
      </c>
      <c r="F38" s="8" t="str">
        <f>IFERROR(INDEX(Source_Filaire!$A$2:$M$104,Source_Filaire!$U23,COLUMNS(Source_Filaire!$R$2:W23)),"")</f>
        <v>Bino</v>
      </c>
      <c r="G38" s="40">
        <f>IFERROR(INDEX(Source_Filaire!$A$2:$M$104,Source_Filaire!$U23,COLUMNS(Source_Filaire!$R$2:X23)),"")</f>
        <v>0</v>
      </c>
      <c r="H38" s="40" t="str">
        <f>IFERROR(INDEX(Source_Filaire!$A$2:$M$104,Source_Filaire!$U23,COLUMNS(Source_Filaire!$R$2:Y23)),"")</f>
        <v>USB</v>
      </c>
      <c r="I38" s="40" t="str">
        <f>IFERROR(INDEX(Source_Filaire!$A$2:$M$104,Source_Filaire!$U23,COLUMNS(Source_Filaire!$R$2:Z23)),"")</f>
        <v>PC</v>
      </c>
      <c r="J38" s="40" t="str">
        <f>IFERROR(INDEX(Source_Filaire!$A$2:$M$104,Source_Filaire!$U23,COLUMNS(Source_Filaire!$R$2:AA23)),"")</f>
        <v>2 ans</v>
      </c>
      <c r="K38" s="40" t="str">
        <f>IFERROR(INDEX(Source_Filaire!$A$2:$M$104,Source_Filaire!$U23,COLUMNS(Source_Filaire!$R$2:AB23)),"")</f>
        <v>Non</v>
      </c>
      <c r="L38" s="40" t="str">
        <f>IFERROR(INDEX(Source_Filaire!$A$2:$M$104,Source_Filaire!$U23,COLUMNS(Source_Filaire!$R$2:AC23)),"")</f>
        <v>Serre-tête</v>
      </c>
      <c r="M38" s="40">
        <f>IFERROR(INDEX(Source_Filaire!$A$2:$M$104,Source_Filaire!$U23,COLUMNS(Source_Filaire!$R$2:AD23)),"")</f>
        <v>0</v>
      </c>
    </row>
    <row r="39" spans="1:13" x14ac:dyDescent="0.25">
      <c r="A39" s="8" t="str">
        <f>IFERROR(INDEX(Source_Filaire!$A$2:$M$104,Source_Filaire!$U24,COLUMNS(Source_Filaire!$R$2:R24)),"")</f>
        <v>JABRA</v>
      </c>
      <c r="B39" s="8" t="str">
        <f>IFERROR(INDEX(Source_Filaire!$A$2:$M$104,Source_Filaire!$U24,COLUMNS(Source_Filaire!$R$2:S24)),"")</f>
        <v>Evolve 20 MS Mono</v>
      </c>
      <c r="C39" s="8" t="str">
        <f>IFERROR(INDEX(Source_Filaire!$A$2:$M$104,Source_Filaire!$U24,COLUMNS(Source_Filaire!$R$2:T24)),"")</f>
        <v>Filaire</v>
      </c>
      <c r="D39" s="8" t="str">
        <f>IFERROR(INDEX(Source_Filaire!$A$2:$M$104,Source_Filaire!$U24,COLUMNS(Source_Filaire!$R$2:U24)),"")</f>
        <v>4993-823-109</v>
      </c>
      <c r="E39" s="43">
        <f>IFERROR(INDEX(Source_Filaire!$A$2:$M$104,Source_Filaire!$U24,COLUMNS(Source_Filaire!$R$2:V24)),"")</f>
        <v>40</v>
      </c>
      <c r="F39" s="8" t="str">
        <f>IFERROR(INDEX(Source_Filaire!$A$2:$M$104,Source_Filaire!$U24,COLUMNS(Source_Filaire!$R$2:W24)),"")</f>
        <v>Mono</v>
      </c>
      <c r="G39" s="40">
        <f>IFERROR(INDEX(Source_Filaire!$A$2:$M$104,Source_Filaire!$U24,COLUMNS(Source_Filaire!$R$2:X24)),"")</f>
        <v>0</v>
      </c>
      <c r="H39" s="40" t="str">
        <f>IFERROR(INDEX(Source_Filaire!$A$2:$M$104,Source_Filaire!$U24,COLUMNS(Source_Filaire!$R$2:Y24)),"")</f>
        <v>USB</v>
      </c>
      <c r="I39" s="40" t="str">
        <f>IFERROR(INDEX(Source_Filaire!$A$2:$M$104,Source_Filaire!$U24,COLUMNS(Source_Filaire!$R$2:Z24)),"")</f>
        <v>PC</v>
      </c>
      <c r="J39" s="40" t="str">
        <f>IFERROR(INDEX(Source_Filaire!$A$2:$M$104,Source_Filaire!$U24,COLUMNS(Source_Filaire!$R$2:AA24)),"")</f>
        <v>2 ans</v>
      </c>
      <c r="K39" s="40" t="str">
        <f>IFERROR(INDEX(Source_Filaire!$A$2:$M$104,Source_Filaire!$U24,COLUMNS(Source_Filaire!$R$2:AB24)),"")</f>
        <v>Oui</v>
      </c>
      <c r="L39" s="40" t="str">
        <f>IFERROR(INDEX(Source_Filaire!$A$2:$M$104,Source_Filaire!$U24,COLUMNS(Source_Filaire!$R$2:AC24)),"")</f>
        <v>Serre-tête</v>
      </c>
      <c r="M39" s="40">
        <f>IFERROR(INDEX(Source_Filaire!$A$2:$M$104,Source_Filaire!$U24,COLUMNS(Source_Filaire!$R$2:AD24)),"")</f>
        <v>0</v>
      </c>
    </row>
    <row r="40" spans="1:13" x14ac:dyDescent="0.25">
      <c r="A40" s="8" t="str">
        <f>IFERROR(INDEX(Source_Filaire!$A$2:$M$104,Source_Filaire!$U25,COLUMNS(Source_Filaire!$R$2:R25)),"")</f>
        <v>JABRA</v>
      </c>
      <c r="B40" s="8" t="str">
        <f>IFERROR(INDEX(Source_Filaire!$A$2:$M$104,Source_Filaire!$U25,COLUMNS(Source_Filaire!$R$2:S25)),"")</f>
        <v>Evolve 20 MS Bino</v>
      </c>
      <c r="C40" s="8" t="str">
        <f>IFERROR(INDEX(Source_Filaire!$A$2:$M$104,Source_Filaire!$U25,COLUMNS(Source_Filaire!$R$2:T25)),"")</f>
        <v>Filaire</v>
      </c>
      <c r="D40" s="8" t="str">
        <f>IFERROR(INDEX(Source_Filaire!$A$2:$M$104,Source_Filaire!$U25,COLUMNS(Source_Filaire!$R$2:U25)),"")</f>
        <v>4999-823-109</v>
      </c>
      <c r="E40" s="43">
        <f>IFERROR(INDEX(Source_Filaire!$A$2:$M$104,Source_Filaire!$U25,COLUMNS(Source_Filaire!$R$2:V25)),"")</f>
        <v>50</v>
      </c>
      <c r="F40" s="8" t="str">
        <f>IFERROR(INDEX(Source_Filaire!$A$2:$M$104,Source_Filaire!$U25,COLUMNS(Source_Filaire!$R$2:W25)),"")</f>
        <v>Bino</v>
      </c>
      <c r="G40" s="40">
        <f>IFERROR(INDEX(Source_Filaire!$A$2:$M$104,Source_Filaire!$U25,COLUMNS(Source_Filaire!$R$2:X25)),"")</f>
        <v>0</v>
      </c>
      <c r="H40" s="40" t="str">
        <f>IFERROR(INDEX(Source_Filaire!$A$2:$M$104,Source_Filaire!$U25,COLUMNS(Source_Filaire!$R$2:Y25)),"")</f>
        <v>USB</v>
      </c>
      <c r="I40" s="40" t="str">
        <f>IFERROR(INDEX(Source_Filaire!$A$2:$M$104,Source_Filaire!$U25,COLUMNS(Source_Filaire!$R$2:Z25)),"")</f>
        <v>PC</v>
      </c>
      <c r="J40" s="40" t="str">
        <f>IFERROR(INDEX(Source_Filaire!$A$2:$M$104,Source_Filaire!$U25,COLUMNS(Source_Filaire!$R$2:AA25)),"")</f>
        <v>2 ans</v>
      </c>
      <c r="K40" s="40" t="str">
        <f>IFERROR(INDEX(Source_Filaire!$A$2:$M$104,Source_Filaire!$U25,COLUMNS(Source_Filaire!$R$2:AB25)),"")</f>
        <v>Oui</v>
      </c>
      <c r="L40" s="40" t="str">
        <f>IFERROR(INDEX(Source_Filaire!$A$2:$M$104,Source_Filaire!$U25,COLUMNS(Source_Filaire!$R$2:AC25)),"")</f>
        <v>Serre-tête</v>
      </c>
      <c r="M40" s="40">
        <f>IFERROR(INDEX(Source_Filaire!$A$2:$M$104,Source_Filaire!$U25,COLUMNS(Source_Filaire!$R$2:AD25)),"")</f>
        <v>0</v>
      </c>
    </row>
    <row r="41" spans="1:13" x14ac:dyDescent="0.25">
      <c r="A41" s="8" t="str">
        <f>IFERROR(INDEX(Source_Filaire!$A$2:$M$104,Source_Filaire!$U26,COLUMNS(Source_Filaire!$R$2:R26)),"")</f>
        <v>JABRA</v>
      </c>
      <c r="B41" s="8" t="str">
        <f>IFERROR(INDEX(Source_Filaire!$A$2:$M$104,Source_Filaire!$U26,COLUMNS(Source_Filaire!$R$2:S26)),"")</f>
        <v>Evolve 30 UC Mono</v>
      </c>
      <c r="C41" s="8" t="str">
        <f>IFERROR(INDEX(Source_Filaire!$A$2:$M$104,Source_Filaire!$U26,COLUMNS(Source_Filaire!$R$2:T26)),"")</f>
        <v>Filaire</v>
      </c>
      <c r="D41" s="8" t="str">
        <f>IFERROR(INDEX(Source_Filaire!$A$2:$M$104,Source_Filaire!$U26,COLUMNS(Source_Filaire!$R$2:U26)),"")</f>
        <v>5393-829-209</v>
      </c>
      <c r="E41" s="43">
        <f>IFERROR(INDEX(Source_Filaire!$A$2:$M$104,Source_Filaire!$U26,COLUMNS(Source_Filaire!$R$2:V26)),"")</f>
        <v>68</v>
      </c>
      <c r="F41" s="8" t="str">
        <f>IFERROR(INDEX(Source_Filaire!$A$2:$M$104,Source_Filaire!$U26,COLUMNS(Source_Filaire!$R$2:W26)),"")</f>
        <v>Mono</v>
      </c>
      <c r="G41" s="40">
        <f>IFERROR(INDEX(Source_Filaire!$A$2:$M$104,Source_Filaire!$U26,COLUMNS(Source_Filaire!$R$2:X26)),"")</f>
        <v>0</v>
      </c>
      <c r="H41" s="40" t="str">
        <f>IFERROR(INDEX(Source_Filaire!$A$2:$M$104,Source_Filaire!$U26,COLUMNS(Source_Filaire!$R$2:Y26)),"")</f>
        <v>USB</v>
      </c>
      <c r="I41" s="40" t="str">
        <f>IFERROR(INDEX(Source_Filaire!$A$2:$M$104,Source_Filaire!$U26,COLUMNS(Source_Filaire!$R$2:Z26)),"")</f>
        <v>PC</v>
      </c>
      <c r="J41" s="40" t="str">
        <f>IFERROR(INDEX(Source_Filaire!$A$2:$M$104,Source_Filaire!$U26,COLUMNS(Source_Filaire!$R$2:AA26)),"")</f>
        <v>2 ans</v>
      </c>
      <c r="K41" s="40" t="str">
        <f>IFERROR(INDEX(Source_Filaire!$A$2:$M$104,Source_Filaire!$U26,COLUMNS(Source_Filaire!$R$2:AB26)),"")</f>
        <v>Non</v>
      </c>
      <c r="L41" s="40" t="str">
        <f>IFERROR(INDEX(Source_Filaire!$A$2:$M$104,Source_Filaire!$U26,COLUMNS(Source_Filaire!$R$2:AC26)),"")</f>
        <v>Serre-tête</v>
      </c>
      <c r="M41" s="40">
        <f>IFERROR(INDEX(Source_Filaire!$A$2:$M$104,Source_Filaire!$U26,COLUMNS(Source_Filaire!$R$2:AD26)),"")</f>
        <v>0</v>
      </c>
    </row>
    <row r="42" spans="1:13" x14ac:dyDescent="0.25">
      <c r="A42" s="8" t="str">
        <f>IFERROR(INDEX(Source_Filaire!$A$2:$M$104,Source_Filaire!$U27,COLUMNS(Source_Filaire!$R$2:R27)),"")</f>
        <v>JABRA</v>
      </c>
      <c r="B42" s="8" t="str">
        <f>IFERROR(INDEX(Source_Filaire!$A$2:$M$104,Source_Filaire!$U27,COLUMNS(Source_Filaire!$R$2:S27)),"")</f>
        <v>Evolve 30 UC Bino</v>
      </c>
      <c r="C42" s="8" t="str">
        <f>IFERROR(INDEX(Source_Filaire!$A$2:$M$104,Source_Filaire!$U27,COLUMNS(Source_Filaire!$R$2:T27)),"")</f>
        <v>Filaire</v>
      </c>
      <c r="D42" s="8" t="str">
        <f>IFERROR(INDEX(Source_Filaire!$A$2:$M$104,Source_Filaire!$U27,COLUMNS(Source_Filaire!$R$2:U27)),"")</f>
        <v>5399-823-209</v>
      </c>
      <c r="E42" s="43">
        <f>IFERROR(INDEX(Source_Filaire!$A$2:$M$104,Source_Filaire!$U27,COLUMNS(Source_Filaire!$R$2:V27)),"")</f>
        <v>78</v>
      </c>
      <c r="F42" s="8" t="str">
        <f>IFERROR(INDEX(Source_Filaire!$A$2:$M$104,Source_Filaire!$U27,COLUMNS(Source_Filaire!$R$2:W27)),"")</f>
        <v>Bino</v>
      </c>
      <c r="G42" s="40" t="str">
        <f>IFERROR(INDEX(Source_Filaire!$A$2:$M$104,Source_Filaire!$U27,COLUMNS(Source_Filaire!$R$2:X27)),"")</f>
        <v>200g</v>
      </c>
      <c r="H42" s="40" t="str">
        <f>IFERROR(INDEX(Source_Filaire!$A$2:$M$104,Source_Filaire!$U27,COLUMNS(Source_Filaire!$R$2:Y27)),"")</f>
        <v>USB</v>
      </c>
      <c r="I42" s="40" t="str">
        <f>IFERROR(INDEX(Source_Filaire!$A$2:$M$104,Source_Filaire!$U27,COLUMNS(Source_Filaire!$R$2:Z27)),"")</f>
        <v>PC</v>
      </c>
      <c r="J42" s="40" t="str">
        <f>IFERROR(INDEX(Source_Filaire!$A$2:$M$104,Source_Filaire!$U27,COLUMNS(Source_Filaire!$R$2:AA27)),"")</f>
        <v>2 ans</v>
      </c>
      <c r="K42" s="40" t="str">
        <f>IFERROR(INDEX(Source_Filaire!$A$2:$M$104,Source_Filaire!$U27,COLUMNS(Source_Filaire!$R$2:AB27)),"")</f>
        <v>Non</v>
      </c>
      <c r="L42" s="40" t="str">
        <f>IFERROR(INDEX(Source_Filaire!$A$2:$M$104,Source_Filaire!$U27,COLUMNS(Source_Filaire!$R$2:AC27)),"")</f>
        <v>Serre-tête</v>
      </c>
      <c r="M42" s="40">
        <f>IFERROR(INDEX(Source_Filaire!$A$2:$M$104,Source_Filaire!$U27,COLUMNS(Source_Filaire!$R$2:AD27)),"")</f>
        <v>0</v>
      </c>
    </row>
    <row r="43" spans="1:13" x14ac:dyDescent="0.25">
      <c r="A43" s="8" t="str">
        <f>IFERROR(INDEX(Source_Filaire!$A$2:$M$104,Source_Filaire!$U28,COLUMNS(Source_Filaire!$R$2:R28)),"")</f>
        <v>JABRA</v>
      </c>
      <c r="B43" s="8" t="str">
        <f>IFERROR(INDEX(Source_Filaire!$A$2:$M$104,Source_Filaire!$U28,COLUMNS(Source_Filaire!$R$2:S28)),"")</f>
        <v>Evolve 30 MS Mono</v>
      </c>
      <c r="C43" s="8" t="str">
        <f>IFERROR(INDEX(Source_Filaire!$A$2:$M$104,Source_Filaire!$U28,COLUMNS(Source_Filaire!$R$2:T28)),"")</f>
        <v>Filaire</v>
      </c>
      <c r="D43" s="8" t="str">
        <f>IFERROR(INDEX(Source_Filaire!$A$2:$M$104,Source_Filaire!$U28,COLUMNS(Source_Filaire!$R$2:U28)),"")</f>
        <v>5393-823-109</v>
      </c>
      <c r="E43" s="43">
        <f>IFERROR(INDEX(Source_Filaire!$A$2:$M$104,Source_Filaire!$U28,COLUMNS(Source_Filaire!$R$2:V28)),"")</f>
        <v>68</v>
      </c>
      <c r="F43" s="8" t="str">
        <f>IFERROR(INDEX(Source_Filaire!$A$2:$M$104,Source_Filaire!$U28,COLUMNS(Source_Filaire!$R$2:W28)),"")</f>
        <v>Mono</v>
      </c>
      <c r="G43" s="40">
        <f>IFERROR(INDEX(Source_Filaire!$A$2:$M$104,Source_Filaire!$U28,COLUMNS(Source_Filaire!$R$2:X28)),"")</f>
        <v>0</v>
      </c>
      <c r="H43" s="40" t="str">
        <f>IFERROR(INDEX(Source_Filaire!$A$2:$M$104,Source_Filaire!$U28,COLUMNS(Source_Filaire!$R$2:Y28)),"")</f>
        <v>USB</v>
      </c>
      <c r="I43" s="40" t="str">
        <f>IFERROR(INDEX(Source_Filaire!$A$2:$M$104,Source_Filaire!$U28,COLUMNS(Source_Filaire!$R$2:Z28)),"")</f>
        <v>PC</v>
      </c>
      <c r="J43" s="40" t="str">
        <f>IFERROR(INDEX(Source_Filaire!$A$2:$M$104,Source_Filaire!$U28,COLUMNS(Source_Filaire!$R$2:AA28)),"")</f>
        <v>2 ans</v>
      </c>
      <c r="K43" s="40" t="str">
        <f>IFERROR(INDEX(Source_Filaire!$A$2:$M$104,Source_Filaire!$U28,COLUMNS(Source_Filaire!$R$2:AB28)),"")</f>
        <v>Oui</v>
      </c>
      <c r="L43" s="40" t="str">
        <f>IFERROR(INDEX(Source_Filaire!$A$2:$M$104,Source_Filaire!$U28,COLUMNS(Source_Filaire!$R$2:AC28)),"")</f>
        <v>Serre-tête</v>
      </c>
      <c r="M43" s="40">
        <f>IFERROR(INDEX(Source_Filaire!$A$2:$M$104,Source_Filaire!$U28,COLUMNS(Source_Filaire!$R$2:AD28)),"")</f>
        <v>0</v>
      </c>
    </row>
    <row r="44" spans="1:13" x14ac:dyDescent="0.25">
      <c r="A44" s="8" t="str">
        <f>IFERROR(INDEX(Source_Filaire!$A$2:$M$104,Source_Filaire!$U29,COLUMNS(Source_Filaire!$R$2:R29)),"")</f>
        <v>JABRA</v>
      </c>
      <c r="B44" s="8" t="str">
        <f>IFERROR(INDEX(Source_Filaire!$A$2:$M$104,Source_Filaire!$U29,COLUMNS(Source_Filaire!$R$2:S29)),"")</f>
        <v>Evolve 30 MS Bino</v>
      </c>
      <c r="C44" s="8" t="str">
        <f>IFERROR(INDEX(Source_Filaire!$A$2:$M$104,Source_Filaire!$U29,COLUMNS(Source_Filaire!$R$2:T29)),"")</f>
        <v>Filaire</v>
      </c>
      <c r="D44" s="8" t="str">
        <f>IFERROR(INDEX(Source_Filaire!$A$2:$M$104,Source_Filaire!$U29,COLUMNS(Source_Filaire!$R$2:U29)),"")</f>
        <v>5399-823-109</v>
      </c>
      <c r="E44" s="43">
        <f>IFERROR(INDEX(Source_Filaire!$A$2:$M$104,Source_Filaire!$U29,COLUMNS(Source_Filaire!$R$2:V29)),"")</f>
        <v>78</v>
      </c>
      <c r="F44" s="8" t="str">
        <f>IFERROR(INDEX(Source_Filaire!$A$2:$M$104,Source_Filaire!$U29,COLUMNS(Source_Filaire!$R$2:W29)),"")</f>
        <v>Bino</v>
      </c>
      <c r="G44" s="40" t="str">
        <f>IFERROR(INDEX(Source_Filaire!$A$2:$M$104,Source_Filaire!$U29,COLUMNS(Source_Filaire!$R$2:X29)),"")</f>
        <v>200g</v>
      </c>
      <c r="H44" s="40" t="str">
        <f>IFERROR(INDEX(Source_Filaire!$A$2:$M$104,Source_Filaire!$U29,COLUMNS(Source_Filaire!$R$2:Y29)),"")</f>
        <v>USB</v>
      </c>
      <c r="I44" s="40" t="str">
        <f>IFERROR(INDEX(Source_Filaire!$A$2:$M$104,Source_Filaire!$U29,COLUMNS(Source_Filaire!$R$2:Z29)),"")</f>
        <v>PC</v>
      </c>
      <c r="J44" s="40" t="str">
        <f>IFERROR(INDEX(Source_Filaire!$A$2:$M$104,Source_Filaire!$U29,COLUMNS(Source_Filaire!$R$2:AA29)),"")</f>
        <v>2 ans</v>
      </c>
      <c r="K44" s="40" t="str">
        <f>IFERROR(INDEX(Source_Filaire!$A$2:$M$104,Source_Filaire!$U29,COLUMNS(Source_Filaire!$R$2:AB29)),"")</f>
        <v>Oui</v>
      </c>
      <c r="L44" s="40" t="str">
        <f>IFERROR(INDEX(Source_Filaire!$A$2:$M$104,Source_Filaire!$U29,COLUMNS(Source_Filaire!$R$2:AC29)),"")</f>
        <v>Serre-tête</v>
      </c>
      <c r="M44" s="40">
        <f>IFERROR(INDEX(Source_Filaire!$A$2:$M$104,Source_Filaire!$U29,COLUMNS(Source_Filaire!$R$2:AD29)),"")</f>
        <v>0</v>
      </c>
    </row>
    <row r="45" spans="1:13" x14ac:dyDescent="0.25">
      <c r="A45" s="8" t="str">
        <f>IFERROR(INDEX(Source_Filaire!$A$2:$M$104,Source_Filaire!$U30,COLUMNS(Source_Filaire!$R$2:R30)),"")</f>
        <v>JABRA</v>
      </c>
      <c r="B45" s="8" t="str">
        <f>IFERROR(INDEX(Source_Filaire!$A$2:$M$104,Source_Filaire!$U30,COLUMNS(Source_Filaire!$R$2:S30)),"")</f>
        <v>Evolve 40 UC Mono</v>
      </c>
      <c r="C45" s="8" t="str">
        <f>IFERROR(INDEX(Source_Filaire!$A$2:$M$104,Source_Filaire!$U30,COLUMNS(Source_Filaire!$R$2:T30)),"")</f>
        <v>Filaire</v>
      </c>
      <c r="D45" s="8" t="str">
        <f>IFERROR(INDEX(Source_Filaire!$A$2:$M$104,Source_Filaire!$U30,COLUMNS(Source_Filaire!$R$2:U30)),"")</f>
        <v>6393-829-209</v>
      </c>
      <c r="E45" s="43">
        <f>IFERROR(INDEX(Source_Filaire!$A$2:$M$104,Source_Filaire!$U30,COLUMNS(Source_Filaire!$R$2:V30)),"")</f>
        <v>89</v>
      </c>
      <c r="F45" s="8" t="str">
        <f>IFERROR(INDEX(Source_Filaire!$A$2:$M$104,Source_Filaire!$U30,COLUMNS(Source_Filaire!$R$2:W30)),"")</f>
        <v>Mono</v>
      </c>
      <c r="G45" s="40">
        <f>IFERROR(INDEX(Source_Filaire!$A$2:$M$104,Source_Filaire!$U30,COLUMNS(Source_Filaire!$R$2:X30)),"")</f>
        <v>0</v>
      </c>
      <c r="H45" s="40" t="str">
        <f>IFERROR(INDEX(Source_Filaire!$A$2:$M$104,Source_Filaire!$U30,COLUMNS(Source_Filaire!$R$2:Y30)),"")</f>
        <v>USB</v>
      </c>
      <c r="I45" s="40" t="str">
        <f>IFERROR(INDEX(Source_Filaire!$A$2:$M$104,Source_Filaire!$U30,COLUMNS(Source_Filaire!$R$2:Z30)),"")</f>
        <v>PC</v>
      </c>
      <c r="J45" s="40" t="str">
        <f>IFERROR(INDEX(Source_Filaire!$A$2:$M$104,Source_Filaire!$U30,COLUMNS(Source_Filaire!$R$2:AA30)),"")</f>
        <v>2 ans</v>
      </c>
      <c r="K45" s="40" t="str">
        <f>IFERROR(INDEX(Source_Filaire!$A$2:$M$104,Source_Filaire!$U30,COLUMNS(Source_Filaire!$R$2:AB30)),"")</f>
        <v>Non</v>
      </c>
      <c r="L45" s="40" t="str">
        <f>IFERROR(INDEX(Source_Filaire!$A$2:$M$104,Source_Filaire!$U30,COLUMNS(Source_Filaire!$R$2:AC30)),"")</f>
        <v>Serre-tête</v>
      </c>
      <c r="M45" s="40">
        <f>IFERROR(INDEX(Source_Filaire!$A$2:$M$104,Source_Filaire!$U30,COLUMNS(Source_Filaire!$R$2:AD30)),"")</f>
        <v>0</v>
      </c>
    </row>
    <row r="46" spans="1:13" x14ac:dyDescent="0.25">
      <c r="A46" s="8" t="str">
        <f>IFERROR(INDEX(Source_Filaire!$A$2:$M$104,Source_Filaire!$U31,COLUMNS(Source_Filaire!$R$2:R31)),"")</f>
        <v>JABRA</v>
      </c>
      <c r="B46" s="8" t="str">
        <f>IFERROR(INDEX(Source_Filaire!$A$2:$M$104,Source_Filaire!$U31,COLUMNS(Source_Filaire!$R$2:S31)),"")</f>
        <v>Evolve 40 UC Bino</v>
      </c>
      <c r="C46" s="8" t="str">
        <f>IFERROR(INDEX(Source_Filaire!$A$2:$M$104,Source_Filaire!$U31,COLUMNS(Source_Filaire!$R$2:T31)),"")</f>
        <v>Filaire</v>
      </c>
      <c r="D46" s="8" t="str">
        <f>IFERROR(INDEX(Source_Filaire!$A$2:$M$104,Source_Filaire!$U31,COLUMNS(Source_Filaire!$R$2:U31)),"")</f>
        <v>6399-829-209</v>
      </c>
      <c r="E46" s="43">
        <f>IFERROR(INDEX(Source_Filaire!$A$2:$M$104,Source_Filaire!$U31,COLUMNS(Source_Filaire!$R$2:V31)),"")</f>
        <v>99</v>
      </c>
      <c r="F46" s="8" t="str">
        <f>IFERROR(INDEX(Source_Filaire!$A$2:$M$104,Source_Filaire!$U31,COLUMNS(Source_Filaire!$R$2:W31)),"")</f>
        <v>Bino</v>
      </c>
      <c r="G46" s="40" t="str">
        <f>IFERROR(INDEX(Source_Filaire!$A$2:$M$104,Source_Filaire!$U31,COLUMNS(Source_Filaire!$R$2:X31)),"")</f>
        <v>260g</v>
      </c>
      <c r="H46" s="40" t="str">
        <f>IFERROR(INDEX(Source_Filaire!$A$2:$M$104,Source_Filaire!$U31,COLUMNS(Source_Filaire!$R$2:Y31)),"")</f>
        <v>USB</v>
      </c>
      <c r="I46" s="40" t="str">
        <f>IFERROR(INDEX(Source_Filaire!$A$2:$M$104,Source_Filaire!$U31,COLUMNS(Source_Filaire!$R$2:Z31)),"")</f>
        <v>PC</v>
      </c>
      <c r="J46" s="40" t="str">
        <f>IFERROR(INDEX(Source_Filaire!$A$2:$M$104,Source_Filaire!$U31,COLUMNS(Source_Filaire!$R$2:AA31)),"")</f>
        <v>2 ans</v>
      </c>
      <c r="K46" s="40" t="str">
        <f>IFERROR(INDEX(Source_Filaire!$A$2:$M$104,Source_Filaire!$U31,COLUMNS(Source_Filaire!$R$2:AB31)),"")</f>
        <v>Non</v>
      </c>
      <c r="L46" s="40" t="str">
        <f>IFERROR(INDEX(Source_Filaire!$A$2:$M$104,Source_Filaire!$U31,COLUMNS(Source_Filaire!$R$2:AC31)),"")</f>
        <v>Serre-tête</v>
      </c>
      <c r="M46" s="40">
        <f>IFERROR(INDEX(Source_Filaire!$A$2:$M$104,Source_Filaire!$U31,COLUMNS(Source_Filaire!$R$2:AD31)),"")</f>
        <v>0</v>
      </c>
    </row>
    <row r="47" spans="1:13" x14ac:dyDescent="0.25">
      <c r="A47" s="8" t="str">
        <f>IFERROR(INDEX(Source_Filaire!$A$2:$M$104,Source_Filaire!$U32,COLUMNS(Source_Filaire!$R$2:R32)),"")</f>
        <v>JABRA</v>
      </c>
      <c r="B47" s="8" t="str">
        <f>IFERROR(INDEX(Source_Filaire!$A$2:$M$104,Source_Filaire!$U32,COLUMNS(Source_Filaire!$R$2:S32)),"")</f>
        <v>Evolve 40 MS Mono</v>
      </c>
      <c r="C47" s="8" t="str">
        <f>IFERROR(INDEX(Source_Filaire!$A$2:$M$104,Source_Filaire!$U32,COLUMNS(Source_Filaire!$R$2:T32)),"")</f>
        <v>Filaire</v>
      </c>
      <c r="D47" s="8" t="str">
        <f>IFERROR(INDEX(Source_Filaire!$A$2:$M$104,Source_Filaire!$U32,COLUMNS(Source_Filaire!$R$2:U32)),"")</f>
        <v>6393-823-109</v>
      </c>
      <c r="E47" s="43">
        <f>IFERROR(INDEX(Source_Filaire!$A$2:$M$104,Source_Filaire!$U32,COLUMNS(Source_Filaire!$R$2:V32)),"")</f>
        <v>89</v>
      </c>
      <c r="F47" s="8" t="str">
        <f>IFERROR(INDEX(Source_Filaire!$A$2:$M$104,Source_Filaire!$U32,COLUMNS(Source_Filaire!$R$2:W32)),"")</f>
        <v>Mono</v>
      </c>
      <c r="G47" s="40">
        <f>IFERROR(INDEX(Source_Filaire!$A$2:$M$104,Source_Filaire!$U32,COLUMNS(Source_Filaire!$R$2:X32)),"")</f>
        <v>0</v>
      </c>
      <c r="H47" s="40" t="str">
        <f>IFERROR(INDEX(Source_Filaire!$A$2:$M$104,Source_Filaire!$U32,COLUMNS(Source_Filaire!$R$2:Y32)),"")</f>
        <v>USB</v>
      </c>
      <c r="I47" s="40" t="str">
        <f>IFERROR(INDEX(Source_Filaire!$A$2:$M$104,Source_Filaire!$U32,COLUMNS(Source_Filaire!$R$2:Z32)),"")</f>
        <v>PC</v>
      </c>
      <c r="J47" s="40" t="str">
        <f>IFERROR(INDEX(Source_Filaire!$A$2:$M$104,Source_Filaire!$U32,COLUMNS(Source_Filaire!$R$2:AA32)),"")</f>
        <v>2 ans</v>
      </c>
      <c r="K47" s="40" t="str">
        <f>IFERROR(INDEX(Source_Filaire!$A$2:$M$104,Source_Filaire!$U32,COLUMNS(Source_Filaire!$R$2:AB32)),"")</f>
        <v>Oui</v>
      </c>
      <c r="L47" s="40" t="str">
        <f>IFERROR(INDEX(Source_Filaire!$A$2:$M$104,Source_Filaire!$U32,COLUMNS(Source_Filaire!$R$2:AC32)),"")</f>
        <v>Serre-tête</v>
      </c>
      <c r="M47" s="40">
        <f>IFERROR(INDEX(Source_Filaire!$A$2:$M$104,Source_Filaire!$U32,COLUMNS(Source_Filaire!$R$2:AD32)),"")</f>
        <v>0</v>
      </c>
    </row>
    <row r="48" spans="1:13" x14ac:dyDescent="0.25">
      <c r="A48" s="8" t="str">
        <f>IFERROR(INDEX(Source_Filaire!$A$2:$M$104,Source_Filaire!$U33,COLUMNS(Source_Filaire!$R$2:R33)),"")</f>
        <v>JABRA</v>
      </c>
      <c r="B48" s="8" t="str">
        <f>IFERROR(INDEX(Source_Filaire!$A$2:$M$104,Source_Filaire!$U33,COLUMNS(Source_Filaire!$R$2:S33)),"")</f>
        <v>Evolve 40 MS Bino</v>
      </c>
      <c r="C48" s="8" t="str">
        <f>IFERROR(INDEX(Source_Filaire!$A$2:$M$104,Source_Filaire!$U33,COLUMNS(Source_Filaire!$R$2:T33)),"")</f>
        <v>Filaire</v>
      </c>
      <c r="D48" s="8" t="str">
        <f>IFERROR(INDEX(Source_Filaire!$A$2:$M$104,Source_Filaire!$U33,COLUMNS(Source_Filaire!$R$2:U33)),"")</f>
        <v>6399-823-109</v>
      </c>
      <c r="E48" s="43">
        <f>IFERROR(INDEX(Source_Filaire!$A$2:$M$104,Source_Filaire!$U33,COLUMNS(Source_Filaire!$R$2:V33)),"")</f>
        <v>99</v>
      </c>
      <c r="F48" s="8" t="str">
        <f>IFERROR(INDEX(Source_Filaire!$A$2:$M$104,Source_Filaire!$U33,COLUMNS(Source_Filaire!$R$2:W33)),"")</f>
        <v>Bino</v>
      </c>
      <c r="G48" s="40" t="str">
        <f>IFERROR(INDEX(Source_Filaire!$A$2:$M$104,Source_Filaire!$U33,COLUMNS(Source_Filaire!$R$2:X33)),"")</f>
        <v>260g</v>
      </c>
      <c r="H48" s="40" t="str">
        <f>IFERROR(INDEX(Source_Filaire!$A$2:$M$104,Source_Filaire!$U33,COLUMNS(Source_Filaire!$R$2:Y33)),"")</f>
        <v>USB</v>
      </c>
      <c r="I48" s="40" t="str">
        <f>IFERROR(INDEX(Source_Filaire!$A$2:$M$104,Source_Filaire!$U33,COLUMNS(Source_Filaire!$R$2:Z33)),"")</f>
        <v>PC</v>
      </c>
      <c r="J48" s="40" t="str">
        <f>IFERROR(INDEX(Source_Filaire!$A$2:$M$104,Source_Filaire!$U33,COLUMNS(Source_Filaire!$R$2:AA33)),"")</f>
        <v>2 ans</v>
      </c>
      <c r="K48" s="40" t="str">
        <f>IFERROR(INDEX(Source_Filaire!$A$2:$M$104,Source_Filaire!$U33,COLUMNS(Source_Filaire!$R$2:AB33)),"")</f>
        <v>Oui</v>
      </c>
      <c r="L48" s="40" t="str">
        <f>IFERROR(INDEX(Source_Filaire!$A$2:$M$104,Source_Filaire!$U33,COLUMNS(Source_Filaire!$R$2:AC33)),"")</f>
        <v>Serre-tête</v>
      </c>
      <c r="M48" s="40">
        <f>IFERROR(INDEX(Source_Filaire!$A$2:$M$104,Source_Filaire!$U33,COLUMNS(Source_Filaire!$R$2:AD33)),"")</f>
        <v>0</v>
      </c>
    </row>
    <row r="49" spans="1:13" x14ac:dyDescent="0.25">
      <c r="A49" s="8" t="str">
        <f>IFERROR(INDEX(Source_Filaire!$A$2:$M$104,Source_Filaire!$U34,COLUMNS(Source_Filaire!$R$2:R34)),"")</f>
        <v>JABRA</v>
      </c>
      <c r="B49" s="8" t="str">
        <f>IFERROR(INDEX(Source_Filaire!$A$2:$M$104,Source_Filaire!$U34,COLUMNS(Source_Filaire!$R$2:S34)),"")</f>
        <v>Evolve 80 UC Bino</v>
      </c>
      <c r="C49" s="8" t="str">
        <f>IFERROR(INDEX(Source_Filaire!$A$2:$M$104,Source_Filaire!$U34,COLUMNS(Source_Filaire!$R$2:T34)),"")</f>
        <v>Filaire</v>
      </c>
      <c r="D49" s="8" t="str">
        <f>IFERROR(INDEX(Source_Filaire!$A$2:$M$104,Source_Filaire!$U34,COLUMNS(Source_Filaire!$R$2:U34)),"")</f>
        <v>7899-829-209</v>
      </c>
      <c r="E49" s="43">
        <f>IFERROR(INDEX(Source_Filaire!$A$2:$M$104,Source_Filaire!$U34,COLUMNS(Source_Filaire!$R$2:V34)),"")</f>
        <v>329</v>
      </c>
      <c r="F49" s="8" t="str">
        <f>IFERROR(INDEX(Source_Filaire!$A$2:$M$104,Source_Filaire!$U34,COLUMNS(Source_Filaire!$R$2:W34)),"")</f>
        <v>Bino</v>
      </c>
      <c r="G49" s="40" t="str">
        <f>IFERROR(INDEX(Source_Filaire!$A$2:$M$104,Source_Filaire!$U34,COLUMNS(Source_Filaire!$R$2:X34)),"")</f>
        <v>650g</v>
      </c>
      <c r="H49" s="40" t="str">
        <f>IFERROR(INDEX(Source_Filaire!$A$2:$M$104,Source_Filaire!$U34,COLUMNS(Source_Filaire!$R$2:Y34)),"")</f>
        <v>USB</v>
      </c>
      <c r="I49" s="40" t="str">
        <f>IFERROR(INDEX(Source_Filaire!$A$2:$M$104,Source_Filaire!$U34,COLUMNS(Source_Filaire!$R$2:Z34)),"")</f>
        <v>PC</v>
      </c>
      <c r="J49" s="40" t="str">
        <f>IFERROR(INDEX(Source_Filaire!$A$2:$M$104,Source_Filaire!$U34,COLUMNS(Source_Filaire!$R$2:AA34)),"")</f>
        <v>2 ans</v>
      </c>
      <c r="K49" s="40" t="str">
        <f>IFERROR(INDEX(Source_Filaire!$A$2:$M$104,Source_Filaire!$U34,COLUMNS(Source_Filaire!$R$2:AB34)),"")</f>
        <v>Non</v>
      </c>
      <c r="L49" s="40" t="str">
        <f>IFERROR(INDEX(Source_Filaire!$A$2:$M$104,Source_Filaire!$U34,COLUMNS(Source_Filaire!$R$2:AC34)),"")</f>
        <v>Serre-tête</v>
      </c>
      <c r="M49" s="40">
        <f>IFERROR(INDEX(Source_Filaire!$A$2:$M$104,Source_Filaire!$U34,COLUMNS(Source_Filaire!$R$2:AD34)),"")</f>
        <v>0</v>
      </c>
    </row>
    <row r="50" spans="1:13" x14ac:dyDescent="0.25">
      <c r="A50" s="8" t="str">
        <f>IFERROR(INDEX(Source_Filaire!$A$2:$M$104,Source_Filaire!$U35,COLUMNS(Source_Filaire!$R$2:R35)),"")</f>
        <v>JABRA</v>
      </c>
      <c r="B50" s="8" t="str">
        <f>IFERROR(INDEX(Source_Filaire!$A$2:$M$104,Source_Filaire!$U35,COLUMNS(Source_Filaire!$R$2:S35)),"")</f>
        <v>Evolve 80 MS Bino</v>
      </c>
      <c r="C50" s="8" t="str">
        <f>IFERROR(INDEX(Source_Filaire!$A$2:$M$104,Source_Filaire!$U35,COLUMNS(Source_Filaire!$R$2:T35)),"")</f>
        <v>Filaire</v>
      </c>
      <c r="D50" s="8" t="str">
        <f>IFERROR(INDEX(Source_Filaire!$A$2:$M$104,Source_Filaire!$U35,COLUMNS(Source_Filaire!$R$2:U35)),"")</f>
        <v>7899823-109</v>
      </c>
      <c r="E50" s="43">
        <f>IFERROR(INDEX(Source_Filaire!$A$2:$M$104,Source_Filaire!$U35,COLUMNS(Source_Filaire!$R$2:V35)),"")</f>
        <v>329</v>
      </c>
      <c r="F50" s="8" t="str">
        <f>IFERROR(INDEX(Source_Filaire!$A$2:$M$104,Source_Filaire!$U35,COLUMNS(Source_Filaire!$R$2:W35)),"")</f>
        <v>Bino</v>
      </c>
      <c r="G50" s="40" t="str">
        <f>IFERROR(INDEX(Source_Filaire!$A$2:$M$104,Source_Filaire!$U35,COLUMNS(Source_Filaire!$R$2:X35)),"")</f>
        <v>650g</v>
      </c>
      <c r="H50" s="40" t="str">
        <f>IFERROR(INDEX(Source_Filaire!$A$2:$M$104,Source_Filaire!$U35,COLUMNS(Source_Filaire!$R$2:Y35)),"")</f>
        <v>USB</v>
      </c>
      <c r="I50" s="40" t="str">
        <f>IFERROR(INDEX(Source_Filaire!$A$2:$M$104,Source_Filaire!$U35,COLUMNS(Source_Filaire!$R$2:Z35)),"")</f>
        <v>PC</v>
      </c>
      <c r="J50" s="40" t="str">
        <f>IFERROR(INDEX(Source_Filaire!$A$2:$M$104,Source_Filaire!$U35,COLUMNS(Source_Filaire!$R$2:AA35)),"")</f>
        <v>2 ans</v>
      </c>
      <c r="K50" s="40" t="str">
        <f>IFERROR(INDEX(Source_Filaire!$A$2:$M$104,Source_Filaire!$U35,COLUMNS(Source_Filaire!$R$2:AB35)),"")</f>
        <v>Oui</v>
      </c>
      <c r="L50" s="40" t="str">
        <f>IFERROR(INDEX(Source_Filaire!$A$2:$M$104,Source_Filaire!$U35,COLUMNS(Source_Filaire!$R$2:AC35)),"")</f>
        <v>Serre-tête</v>
      </c>
      <c r="M50" s="40">
        <f>IFERROR(INDEX(Source_Filaire!$A$2:$M$104,Source_Filaire!$U35,COLUMNS(Source_Filaire!$R$2:AD35)),"")</f>
        <v>0</v>
      </c>
    </row>
    <row r="51" spans="1:13" x14ac:dyDescent="0.25">
      <c r="A51" s="8" t="str">
        <f>IFERROR(INDEX(Source_Filaire!$A$2:$M$104,Source_Filaire!$U36,COLUMNS(Source_Filaire!$R$2:R36)),"")</f>
        <v>JABRA</v>
      </c>
      <c r="B51" s="8" t="str">
        <f>IFERROR(INDEX(Source_Filaire!$A$2:$M$104,Source_Filaire!$U36,COLUMNS(Source_Filaire!$R$2:S36)),"")</f>
        <v>Biz 2300 USB, UC Mono</v>
      </c>
      <c r="C51" s="8" t="str">
        <f>IFERROR(INDEX(Source_Filaire!$A$2:$M$104,Source_Filaire!$U36,COLUMNS(Source_Filaire!$R$2:T36)),"")</f>
        <v>Filaire</v>
      </c>
      <c r="D51" s="8" t="str">
        <f>IFERROR(INDEX(Source_Filaire!$A$2:$M$104,Source_Filaire!$U36,COLUMNS(Source_Filaire!$R$2:U36)),"")</f>
        <v>2393-829-109</v>
      </c>
      <c r="E51" s="43">
        <f>IFERROR(INDEX(Source_Filaire!$A$2:$M$104,Source_Filaire!$U36,COLUMNS(Source_Filaire!$R$2:V36)),"")</f>
        <v>129</v>
      </c>
      <c r="F51" s="8" t="str">
        <f>IFERROR(INDEX(Source_Filaire!$A$2:$M$104,Source_Filaire!$U36,COLUMNS(Source_Filaire!$R$2:W36)),"")</f>
        <v>Mono</v>
      </c>
      <c r="G51" s="40" t="str">
        <f>IFERROR(INDEX(Source_Filaire!$A$2:$M$104,Source_Filaire!$U36,COLUMNS(Source_Filaire!$R$2:X36)),"")</f>
        <v>48g</v>
      </c>
      <c r="H51" s="40" t="str">
        <f>IFERROR(INDEX(Source_Filaire!$A$2:$M$104,Source_Filaire!$U36,COLUMNS(Source_Filaire!$R$2:Y36)),"")</f>
        <v>USB</v>
      </c>
      <c r="I51" s="40" t="str">
        <f>IFERROR(INDEX(Source_Filaire!$A$2:$M$104,Source_Filaire!$U36,COLUMNS(Source_Filaire!$R$2:Z36)),"")</f>
        <v>PC</v>
      </c>
      <c r="J51" s="40" t="str">
        <f>IFERROR(INDEX(Source_Filaire!$A$2:$M$104,Source_Filaire!$U36,COLUMNS(Source_Filaire!$R$2:AA36)),"")</f>
        <v>2 ans</v>
      </c>
      <c r="K51" s="40" t="str">
        <f>IFERROR(INDEX(Source_Filaire!$A$2:$M$104,Source_Filaire!$U36,COLUMNS(Source_Filaire!$R$2:AB36)),"")</f>
        <v>Non</v>
      </c>
      <c r="L51" s="40" t="str">
        <f>IFERROR(INDEX(Source_Filaire!$A$2:$M$104,Source_Filaire!$U36,COLUMNS(Source_Filaire!$R$2:AC36)),"")</f>
        <v>Serre-tête</v>
      </c>
      <c r="M51" s="40">
        <f>IFERROR(INDEX(Source_Filaire!$A$2:$M$104,Source_Filaire!$U36,COLUMNS(Source_Filaire!$R$2:AD36)),"")</f>
        <v>0</v>
      </c>
    </row>
    <row r="52" spans="1:13" x14ac:dyDescent="0.25">
      <c r="A52" s="8" t="str">
        <f>IFERROR(INDEX(Source_Filaire!$A$2:$M$104,Source_Filaire!$U37,COLUMNS(Source_Filaire!$R$2:R37)),"")</f>
        <v>JABRA</v>
      </c>
      <c r="B52" s="8" t="str">
        <f>IFERROR(INDEX(Source_Filaire!$A$2:$M$104,Source_Filaire!$U37,COLUMNS(Source_Filaire!$R$2:S37)),"")</f>
        <v>Biz 2300 USB, UC Bino</v>
      </c>
      <c r="C52" s="8" t="str">
        <f>IFERROR(INDEX(Source_Filaire!$A$2:$M$104,Source_Filaire!$U37,COLUMNS(Source_Filaire!$R$2:T37)),"")</f>
        <v>Filaire</v>
      </c>
      <c r="D52" s="8" t="str">
        <f>IFERROR(INDEX(Source_Filaire!$A$2:$M$104,Source_Filaire!$U37,COLUMNS(Source_Filaire!$R$2:U37)),"")</f>
        <v>2399-829-109</v>
      </c>
      <c r="E52" s="43">
        <f>IFERROR(INDEX(Source_Filaire!$A$2:$M$104,Source_Filaire!$U37,COLUMNS(Source_Filaire!$R$2:V37)),"")</f>
        <v>149</v>
      </c>
      <c r="F52" s="8" t="str">
        <f>IFERROR(INDEX(Source_Filaire!$A$2:$M$104,Source_Filaire!$U37,COLUMNS(Source_Filaire!$R$2:W37)),"")</f>
        <v>Bino</v>
      </c>
      <c r="G52" s="40" t="str">
        <f>IFERROR(INDEX(Source_Filaire!$A$2:$M$104,Source_Filaire!$U37,COLUMNS(Source_Filaire!$R$2:X37)),"")</f>
        <v>68g</v>
      </c>
      <c r="H52" s="40" t="str">
        <f>IFERROR(INDEX(Source_Filaire!$A$2:$M$104,Source_Filaire!$U37,COLUMNS(Source_Filaire!$R$2:Y37)),"")</f>
        <v>USB</v>
      </c>
      <c r="I52" s="40" t="str">
        <f>IFERROR(INDEX(Source_Filaire!$A$2:$M$104,Source_Filaire!$U37,COLUMNS(Source_Filaire!$R$2:Z37)),"")</f>
        <v>PC</v>
      </c>
      <c r="J52" s="40" t="str">
        <f>IFERROR(INDEX(Source_Filaire!$A$2:$M$104,Source_Filaire!$U37,COLUMNS(Source_Filaire!$R$2:AA37)),"")</f>
        <v>2 ans</v>
      </c>
      <c r="K52" s="40" t="str">
        <f>IFERROR(INDEX(Source_Filaire!$A$2:$M$104,Source_Filaire!$U37,COLUMNS(Source_Filaire!$R$2:AB37)),"")</f>
        <v>Non</v>
      </c>
      <c r="L52" s="40" t="str">
        <f>IFERROR(INDEX(Source_Filaire!$A$2:$M$104,Source_Filaire!$U37,COLUMNS(Source_Filaire!$R$2:AC37)),"")</f>
        <v>Serre-tête</v>
      </c>
      <c r="M52" s="40">
        <f>IFERROR(INDEX(Source_Filaire!$A$2:$M$104,Source_Filaire!$U37,COLUMNS(Source_Filaire!$R$2:AD37)),"")</f>
        <v>0</v>
      </c>
    </row>
    <row r="53" spans="1:13" x14ac:dyDescent="0.25">
      <c r="A53" s="8" t="str">
        <f>IFERROR(INDEX(Source_Filaire!$A$2:$M$104,Source_Filaire!$U38,COLUMNS(Source_Filaire!$R$2:R38)),"")</f>
        <v>JABRA</v>
      </c>
      <c r="B53" s="8" t="str">
        <f>IFERROR(INDEX(Source_Filaire!$A$2:$M$104,Source_Filaire!$U38,COLUMNS(Source_Filaire!$R$2:S38)),"")</f>
        <v>Biz 2300 USB MS Mono</v>
      </c>
      <c r="C53" s="8" t="str">
        <f>IFERROR(INDEX(Source_Filaire!$A$2:$M$104,Source_Filaire!$U38,COLUMNS(Source_Filaire!$R$2:T38)),"")</f>
        <v>Filaire</v>
      </c>
      <c r="D53" s="8" t="str">
        <f>IFERROR(INDEX(Source_Filaire!$A$2:$M$104,Source_Filaire!$U38,COLUMNS(Source_Filaire!$R$2:U38)),"")</f>
        <v>2393-823-109</v>
      </c>
      <c r="E53" s="43">
        <f>IFERROR(INDEX(Source_Filaire!$A$2:$M$104,Source_Filaire!$U38,COLUMNS(Source_Filaire!$R$2:V38)),"")</f>
        <v>129</v>
      </c>
      <c r="F53" s="8" t="str">
        <f>IFERROR(INDEX(Source_Filaire!$A$2:$M$104,Source_Filaire!$U38,COLUMNS(Source_Filaire!$R$2:W38)),"")</f>
        <v>Mono</v>
      </c>
      <c r="G53" s="40" t="str">
        <f>IFERROR(INDEX(Source_Filaire!$A$2:$M$104,Source_Filaire!$U38,COLUMNS(Source_Filaire!$R$2:X38)),"")</f>
        <v>48g</v>
      </c>
      <c r="H53" s="40" t="str">
        <f>IFERROR(INDEX(Source_Filaire!$A$2:$M$104,Source_Filaire!$U38,COLUMNS(Source_Filaire!$R$2:Y38)),"")</f>
        <v>USB</v>
      </c>
      <c r="I53" s="40" t="str">
        <f>IFERROR(INDEX(Source_Filaire!$A$2:$M$104,Source_Filaire!$U38,COLUMNS(Source_Filaire!$R$2:Z38)),"")</f>
        <v>PC</v>
      </c>
      <c r="J53" s="40" t="str">
        <f>IFERROR(INDEX(Source_Filaire!$A$2:$M$104,Source_Filaire!$U38,COLUMNS(Source_Filaire!$R$2:AA38)),"")</f>
        <v>2 ans</v>
      </c>
      <c r="K53" s="40" t="str">
        <f>IFERROR(INDEX(Source_Filaire!$A$2:$M$104,Source_Filaire!$U38,COLUMNS(Source_Filaire!$R$2:AB38)),"")</f>
        <v>Oui</v>
      </c>
      <c r="L53" s="40" t="str">
        <f>IFERROR(INDEX(Source_Filaire!$A$2:$M$104,Source_Filaire!$U38,COLUMNS(Source_Filaire!$R$2:AC38)),"")</f>
        <v>Serre-tête</v>
      </c>
      <c r="M53" s="40">
        <f>IFERROR(INDEX(Source_Filaire!$A$2:$M$104,Source_Filaire!$U38,COLUMNS(Source_Filaire!$R$2:AD38)),"")</f>
        <v>0</v>
      </c>
    </row>
    <row r="54" spans="1:13" x14ac:dyDescent="0.25">
      <c r="A54" s="8" t="str">
        <f>IFERROR(INDEX(Source_Filaire!$A$2:$M$104,Source_Filaire!$U39,COLUMNS(Source_Filaire!$R$2:R39)),"")</f>
        <v>JABRA</v>
      </c>
      <c r="B54" s="8" t="str">
        <f>IFERROR(INDEX(Source_Filaire!$A$2:$M$104,Source_Filaire!$U39,COLUMNS(Source_Filaire!$R$2:S39)),"")</f>
        <v>Biz 2300 USB MS Bino</v>
      </c>
      <c r="C54" s="8" t="str">
        <f>IFERROR(INDEX(Source_Filaire!$A$2:$M$104,Source_Filaire!$U39,COLUMNS(Source_Filaire!$R$2:T39)),"")</f>
        <v>Filaire</v>
      </c>
      <c r="D54" s="8" t="str">
        <f>IFERROR(INDEX(Source_Filaire!$A$2:$M$104,Source_Filaire!$U39,COLUMNS(Source_Filaire!$R$2:U39)),"")</f>
        <v>2399-823-109</v>
      </c>
      <c r="E54" s="43">
        <f>IFERROR(INDEX(Source_Filaire!$A$2:$M$104,Source_Filaire!$U39,COLUMNS(Source_Filaire!$R$2:V39)),"")</f>
        <v>149</v>
      </c>
      <c r="F54" s="8" t="str">
        <f>IFERROR(INDEX(Source_Filaire!$A$2:$M$104,Source_Filaire!$U39,COLUMNS(Source_Filaire!$R$2:W39)),"")</f>
        <v>Bino</v>
      </c>
      <c r="G54" s="40" t="str">
        <f>IFERROR(INDEX(Source_Filaire!$A$2:$M$104,Source_Filaire!$U39,COLUMNS(Source_Filaire!$R$2:X39)),"")</f>
        <v>68g</v>
      </c>
      <c r="H54" s="40" t="str">
        <f>IFERROR(INDEX(Source_Filaire!$A$2:$M$104,Source_Filaire!$U39,COLUMNS(Source_Filaire!$R$2:Y39)),"")</f>
        <v>USB</v>
      </c>
      <c r="I54" s="40" t="str">
        <f>IFERROR(INDEX(Source_Filaire!$A$2:$M$104,Source_Filaire!$U39,COLUMNS(Source_Filaire!$R$2:Z39)),"")</f>
        <v>PC</v>
      </c>
      <c r="J54" s="40" t="str">
        <f>IFERROR(INDEX(Source_Filaire!$A$2:$M$104,Source_Filaire!$U39,COLUMNS(Source_Filaire!$R$2:AA39)),"")</f>
        <v>2 ans</v>
      </c>
      <c r="K54" s="40" t="str">
        <f>IFERROR(INDEX(Source_Filaire!$A$2:$M$104,Source_Filaire!$U39,COLUMNS(Source_Filaire!$R$2:AB39)),"")</f>
        <v>Oui</v>
      </c>
      <c r="L54" s="40" t="str">
        <f>IFERROR(INDEX(Source_Filaire!$A$2:$M$104,Source_Filaire!$U39,COLUMNS(Source_Filaire!$R$2:AC39)),"")</f>
        <v>Serre-tête</v>
      </c>
      <c r="M54" s="40">
        <f>IFERROR(INDEX(Source_Filaire!$A$2:$M$104,Source_Filaire!$U39,COLUMNS(Source_Filaire!$R$2:AD39)),"")</f>
        <v>0</v>
      </c>
    </row>
    <row r="55" spans="1:13" x14ac:dyDescent="0.25">
      <c r="A55" s="8" t="str">
        <f>IFERROR(INDEX(Source_Filaire!$A$2:$M$104,Source_Filaire!$U40,COLUMNS(Source_Filaire!$R$2:R40)),"")</f>
        <v>JABRA</v>
      </c>
      <c r="B55" s="8" t="str">
        <f>IFERROR(INDEX(Source_Filaire!$A$2:$M$104,Source_Filaire!$U40,COLUMNS(Source_Filaire!$R$2:S40)),"")</f>
        <v>Biz 2400 II USB UC Mono</v>
      </c>
      <c r="C55" s="8" t="str">
        <f>IFERROR(INDEX(Source_Filaire!$A$2:$M$104,Source_Filaire!$U40,COLUMNS(Source_Filaire!$R$2:T40)),"")</f>
        <v>Filaire</v>
      </c>
      <c r="D55" s="8" t="str">
        <f>IFERROR(INDEX(Source_Filaire!$A$2:$M$104,Source_Filaire!$U40,COLUMNS(Source_Filaire!$R$2:U40)),"")</f>
        <v>2496-829-309</v>
      </c>
      <c r="E55" s="43">
        <f>IFERROR(INDEX(Source_Filaire!$A$2:$M$104,Source_Filaire!$U40,COLUMNS(Source_Filaire!$R$2:V40)),"")</f>
        <v>189</v>
      </c>
      <c r="F55" s="8" t="str">
        <f>IFERROR(INDEX(Source_Filaire!$A$2:$M$104,Source_Filaire!$U40,COLUMNS(Source_Filaire!$R$2:W40)),"")</f>
        <v>Mono</v>
      </c>
      <c r="G55" s="40" t="str">
        <f>IFERROR(INDEX(Source_Filaire!$A$2:$M$104,Source_Filaire!$U40,COLUMNS(Source_Filaire!$R$2:X40)),"")</f>
        <v>51g</v>
      </c>
      <c r="H55" s="40" t="str">
        <f>IFERROR(INDEX(Source_Filaire!$A$2:$M$104,Source_Filaire!$U40,COLUMNS(Source_Filaire!$R$2:Y40)),"")</f>
        <v>USB</v>
      </c>
      <c r="I55" s="40" t="str">
        <f>IFERROR(INDEX(Source_Filaire!$A$2:$M$104,Source_Filaire!$U40,COLUMNS(Source_Filaire!$R$2:Z40)),"")</f>
        <v>PC</v>
      </c>
      <c r="J55" s="40" t="str">
        <f>IFERROR(INDEX(Source_Filaire!$A$2:$M$104,Source_Filaire!$U40,COLUMNS(Source_Filaire!$R$2:AA40)),"")</f>
        <v>2 ans</v>
      </c>
      <c r="K55" s="40" t="str">
        <f>IFERROR(INDEX(Source_Filaire!$A$2:$M$104,Source_Filaire!$U40,COLUMNS(Source_Filaire!$R$2:AB40)),"")</f>
        <v>Non</v>
      </c>
      <c r="L55" s="40" t="str">
        <f>IFERROR(INDEX(Source_Filaire!$A$2:$M$104,Source_Filaire!$U40,COLUMNS(Source_Filaire!$R$2:AC40)),"")</f>
        <v>Serre-tête</v>
      </c>
      <c r="M55" s="40">
        <f>IFERROR(INDEX(Source_Filaire!$A$2:$M$104,Source_Filaire!$U40,COLUMNS(Source_Filaire!$R$2:AD40)),"")</f>
        <v>0</v>
      </c>
    </row>
    <row r="56" spans="1:13" x14ac:dyDescent="0.25">
      <c r="A56" s="8" t="str">
        <f>IFERROR(INDEX(Source_Filaire!$A$2:$M$104,Source_Filaire!$U41,COLUMNS(Source_Filaire!$R$2:R41)),"")</f>
        <v>JABRA</v>
      </c>
      <c r="B56" s="8" t="str">
        <f>IFERROR(INDEX(Source_Filaire!$A$2:$M$104,Source_Filaire!$U41,COLUMNS(Source_Filaire!$R$2:S41)),"")</f>
        <v>Biz 2400 II USB UC Bino</v>
      </c>
      <c r="C56" s="8" t="str">
        <f>IFERROR(INDEX(Source_Filaire!$A$2:$M$104,Source_Filaire!$U41,COLUMNS(Source_Filaire!$R$2:T41)),"")</f>
        <v>Filaire</v>
      </c>
      <c r="D56" s="8" t="str">
        <f>IFERROR(INDEX(Source_Filaire!$A$2:$M$104,Source_Filaire!$U41,COLUMNS(Source_Filaire!$R$2:U41)),"")</f>
        <v>2499-829-309</v>
      </c>
      <c r="E56" s="43">
        <f>IFERROR(INDEX(Source_Filaire!$A$2:$M$104,Source_Filaire!$U41,COLUMNS(Source_Filaire!$R$2:V41)),"")</f>
        <v>199</v>
      </c>
      <c r="F56" s="8" t="str">
        <f>IFERROR(INDEX(Source_Filaire!$A$2:$M$104,Source_Filaire!$U41,COLUMNS(Source_Filaire!$R$2:W41)),"")</f>
        <v>Bino</v>
      </c>
      <c r="G56" s="40" t="str">
        <f>IFERROR(INDEX(Source_Filaire!$A$2:$M$104,Source_Filaire!$U41,COLUMNS(Source_Filaire!$R$2:X41)),"")</f>
        <v>56g</v>
      </c>
      <c r="H56" s="40" t="str">
        <f>IFERROR(INDEX(Source_Filaire!$A$2:$M$104,Source_Filaire!$U41,COLUMNS(Source_Filaire!$R$2:Y41)),"")</f>
        <v>USB</v>
      </c>
      <c r="I56" s="40" t="str">
        <f>IFERROR(INDEX(Source_Filaire!$A$2:$M$104,Source_Filaire!$U41,COLUMNS(Source_Filaire!$R$2:Z41)),"")</f>
        <v>PC</v>
      </c>
      <c r="J56" s="40" t="str">
        <f>IFERROR(INDEX(Source_Filaire!$A$2:$M$104,Source_Filaire!$U41,COLUMNS(Source_Filaire!$R$2:AA41)),"")</f>
        <v>2 ans</v>
      </c>
      <c r="K56" s="40" t="str">
        <f>IFERROR(INDEX(Source_Filaire!$A$2:$M$104,Source_Filaire!$U41,COLUMNS(Source_Filaire!$R$2:AB41)),"")</f>
        <v>Non</v>
      </c>
      <c r="L56" s="40" t="str">
        <f>IFERROR(INDEX(Source_Filaire!$A$2:$M$104,Source_Filaire!$U41,COLUMNS(Source_Filaire!$R$2:AC41)),"")</f>
        <v>Serre-tête</v>
      </c>
      <c r="M56" s="40">
        <f>IFERROR(INDEX(Source_Filaire!$A$2:$M$104,Source_Filaire!$U41,COLUMNS(Source_Filaire!$R$2:AD41)),"")</f>
        <v>0</v>
      </c>
    </row>
    <row r="57" spans="1:13" x14ac:dyDescent="0.25">
      <c r="A57" s="8" t="str">
        <f>IFERROR(INDEX(Source_Filaire!$A$2:$M$104,Source_Filaire!$U42,COLUMNS(Source_Filaire!$R$2:R42)),"")</f>
        <v>JABRA</v>
      </c>
      <c r="B57" s="8" t="str">
        <f>IFERROR(INDEX(Source_Filaire!$A$2:$M$104,Source_Filaire!$U42,COLUMNS(Source_Filaire!$R$2:S42)),"")</f>
        <v>Biz 2400 II USB MS Mono</v>
      </c>
      <c r="C57" s="8" t="str">
        <f>IFERROR(INDEX(Source_Filaire!$A$2:$M$104,Source_Filaire!$U42,COLUMNS(Source_Filaire!$R$2:T42)),"")</f>
        <v>Filaire</v>
      </c>
      <c r="D57" s="8" t="str">
        <f>IFERROR(INDEX(Source_Filaire!$A$2:$M$104,Source_Filaire!$U42,COLUMNS(Source_Filaire!$R$2:U42)),"")</f>
        <v>2496-823-309</v>
      </c>
      <c r="E57" s="43">
        <f>IFERROR(INDEX(Source_Filaire!$A$2:$M$104,Source_Filaire!$U42,COLUMNS(Source_Filaire!$R$2:V42)),"")</f>
        <v>189</v>
      </c>
      <c r="F57" s="8" t="str">
        <f>IFERROR(INDEX(Source_Filaire!$A$2:$M$104,Source_Filaire!$U42,COLUMNS(Source_Filaire!$R$2:W42)),"")</f>
        <v>Mono</v>
      </c>
      <c r="G57" s="40" t="str">
        <f>IFERROR(INDEX(Source_Filaire!$A$2:$M$104,Source_Filaire!$U42,COLUMNS(Source_Filaire!$R$2:X42)),"")</f>
        <v>51g</v>
      </c>
      <c r="H57" s="40" t="str">
        <f>IFERROR(INDEX(Source_Filaire!$A$2:$M$104,Source_Filaire!$U42,COLUMNS(Source_Filaire!$R$2:Y42)),"")</f>
        <v>USB</v>
      </c>
      <c r="I57" s="40" t="str">
        <f>IFERROR(INDEX(Source_Filaire!$A$2:$M$104,Source_Filaire!$U42,COLUMNS(Source_Filaire!$R$2:Z42)),"")</f>
        <v>PC</v>
      </c>
      <c r="J57" s="40" t="str">
        <f>IFERROR(INDEX(Source_Filaire!$A$2:$M$104,Source_Filaire!$U42,COLUMNS(Source_Filaire!$R$2:AA42)),"")</f>
        <v>2 ans</v>
      </c>
      <c r="K57" s="40" t="str">
        <f>IFERROR(INDEX(Source_Filaire!$A$2:$M$104,Source_Filaire!$U42,COLUMNS(Source_Filaire!$R$2:AB42)),"")</f>
        <v>Oui</v>
      </c>
      <c r="L57" s="40" t="str">
        <f>IFERROR(INDEX(Source_Filaire!$A$2:$M$104,Source_Filaire!$U42,COLUMNS(Source_Filaire!$R$2:AC42)),"")</f>
        <v>Serre-tête</v>
      </c>
      <c r="M57" s="40">
        <f>IFERROR(INDEX(Source_Filaire!$A$2:$M$104,Source_Filaire!$U42,COLUMNS(Source_Filaire!$R$2:AD42)),"")</f>
        <v>0</v>
      </c>
    </row>
    <row r="58" spans="1:13" x14ac:dyDescent="0.25">
      <c r="A58" s="8" t="str">
        <f>IFERROR(INDEX(Source_Filaire!$A$2:$M$104,Source_Filaire!$U43,COLUMNS(Source_Filaire!$R$2:R43)),"")</f>
        <v>JABRA</v>
      </c>
      <c r="B58" s="8" t="str">
        <f>IFERROR(INDEX(Source_Filaire!$A$2:$M$104,Source_Filaire!$U43,COLUMNS(Source_Filaire!$R$2:S43)),"")</f>
        <v>Biz 2400 II USB MS Bino</v>
      </c>
      <c r="C58" s="8" t="str">
        <f>IFERROR(INDEX(Source_Filaire!$A$2:$M$104,Source_Filaire!$U43,COLUMNS(Source_Filaire!$R$2:T43)),"")</f>
        <v>Filaire</v>
      </c>
      <c r="D58" s="8" t="str">
        <f>IFERROR(INDEX(Source_Filaire!$A$2:$M$104,Source_Filaire!$U43,COLUMNS(Source_Filaire!$R$2:U43)),"")</f>
        <v>2499-823-309</v>
      </c>
      <c r="E58" s="43">
        <f>IFERROR(INDEX(Source_Filaire!$A$2:$M$104,Source_Filaire!$U43,COLUMNS(Source_Filaire!$R$2:V43)),"")</f>
        <v>199</v>
      </c>
      <c r="F58" s="8" t="str">
        <f>IFERROR(INDEX(Source_Filaire!$A$2:$M$104,Source_Filaire!$U43,COLUMNS(Source_Filaire!$R$2:W43)),"")</f>
        <v>Bino</v>
      </c>
      <c r="G58" s="40" t="str">
        <f>IFERROR(INDEX(Source_Filaire!$A$2:$M$104,Source_Filaire!$U43,COLUMNS(Source_Filaire!$R$2:X43)),"")</f>
        <v>56g</v>
      </c>
      <c r="H58" s="40" t="str">
        <f>IFERROR(INDEX(Source_Filaire!$A$2:$M$104,Source_Filaire!$U43,COLUMNS(Source_Filaire!$R$2:Y43)),"")</f>
        <v>USB</v>
      </c>
      <c r="I58" s="40" t="str">
        <f>IFERROR(INDEX(Source_Filaire!$A$2:$M$104,Source_Filaire!$U43,COLUMNS(Source_Filaire!$R$2:Z43)),"")</f>
        <v>PC</v>
      </c>
      <c r="J58" s="40" t="str">
        <f>IFERROR(INDEX(Source_Filaire!$A$2:$M$104,Source_Filaire!$U43,COLUMNS(Source_Filaire!$R$2:AA43)),"")</f>
        <v>2 ans</v>
      </c>
      <c r="K58" s="40" t="str">
        <f>IFERROR(INDEX(Source_Filaire!$A$2:$M$104,Source_Filaire!$U43,COLUMNS(Source_Filaire!$R$2:AB43)),"")</f>
        <v>Oui</v>
      </c>
      <c r="L58" s="40" t="str">
        <f>IFERROR(INDEX(Source_Filaire!$A$2:$M$104,Source_Filaire!$U43,COLUMNS(Source_Filaire!$R$2:AC43)),"")</f>
        <v>Serre-tête</v>
      </c>
      <c r="M58" s="40">
        <f>IFERROR(INDEX(Source_Filaire!$A$2:$M$104,Source_Filaire!$U43,COLUMNS(Source_Filaire!$R$2:AD43)),"")</f>
        <v>0</v>
      </c>
    </row>
    <row r="59" spans="1:13" x14ac:dyDescent="0.25">
      <c r="A59" s="8" t="str">
        <f>IFERROR(INDEX(Source_Filaire!$A$2:$M$104,Source_Filaire!$U44,COLUMNS(Source_Filaire!$R$2:R44)),"")</f>
        <v>JABRA</v>
      </c>
      <c r="B59" s="8" t="str">
        <f>IFERROR(INDEX(Source_Filaire!$A$2:$M$104,Source_Filaire!$U44,COLUMNS(Source_Filaire!$R$2:S44)),"")</f>
        <v>VOICE 150 UC Mono</v>
      </c>
      <c r="C59" s="8" t="str">
        <f>IFERROR(INDEX(Source_Filaire!$A$2:$M$104,Source_Filaire!$U44,COLUMNS(Source_Filaire!$R$2:T44)),"")</f>
        <v>Filaire</v>
      </c>
      <c r="D59" s="8" t="str">
        <f>IFERROR(INDEX(Source_Filaire!$A$2:$M$104,Source_Filaire!$U44,COLUMNS(Source_Filaire!$R$2:U44)),"")</f>
        <v>1593-829-209</v>
      </c>
      <c r="E59" s="43">
        <f>IFERROR(INDEX(Source_Filaire!$A$2:$M$104,Source_Filaire!$U44,COLUMNS(Source_Filaire!$R$2:V44)),"")</f>
        <v>34</v>
      </c>
      <c r="F59" s="8" t="str">
        <f>IFERROR(INDEX(Source_Filaire!$A$2:$M$104,Source_Filaire!$U44,COLUMNS(Source_Filaire!$R$2:W44)),"")</f>
        <v>Mono</v>
      </c>
      <c r="G59" s="40">
        <f>IFERROR(INDEX(Source_Filaire!$A$2:$M$104,Source_Filaire!$U44,COLUMNS(Source_Filaire!$R$2:X44)),"")</f>
        <v>0</v>
      </c>
      <c r="H59" s="40" t="str">
        <f>IFERROR(INDEX(Source_Filaire!$A$2:$M$104,Source_Filaire!$U44,COLUMNS(Source_Filaire!$R$2:Y44)),"")</f>
        <v>USB</v>
      </c>
      <c r="I59" s="40" t="str">
        <f>IFERROR(INDEX(Source_Filaire!$A$2:$M$104,Source_Filaire!$U44,COLUMNS(Source_Filaire!$R$2:Z44)),"")</f>
        <v>PC</v>
      </c>
      <c r="J59" s="40" t="str">
        <f>IFERROR(INDEX(Source_Filaire!$A$2:$M$104,Source_Filaire!$U44,COLUMNS(Source_Filaire!$R$2:AA44)),"")</f>
        <v>2 ans</v>
      </c>
      <c r="K59" s="40" t="str">
        <f>IFERROR(INDEX(Source_Filaire!$A$2:$M$104,Source_Filaire!$U44,COLUMNS(Source_Filaire!$R$2:AB44)),"")</f>
        <v>Non</v>
      </c>
      <c r="L59" s="40" t="str">
        <f>IFERROR(INDEX(Source_Filaire!$A$2:$M$104,Source_Filaire!$U44,COLUMNS(Source_Filaire!$R$2:AC44)),"")</f>
        <v>Serre-tête</v>
      </c>
      <c r="M59" s="40">
        <f>IFERROR(INDEX(Source_Filaire!$A$2:$M$104,Source_Filaire!$U44,COLUMNS(Source_Filaire!$R$2:AD44)),"")</f>
        <v>0</v>
      </c>
    </row>
    <row r="60" spans="1:13" x14ac:dyDescent="0.25">
      <c r="A60" s="8" t="str">
        <f>IFERROR(INDEX(Source_Filaire!$A$2:$M$104,Source_Filaire!$U45,COLUMNS(Source_Filaire!$R$2:R45)),"")</f>
        <v>JABRA</v>
      </c>
      <c r="B60" s="8" t="str">
        <f>IFERROR(INDEX(Source_Filaire!$A$2:$M$104,Source_Filaire!$U45,COLUMNS(Source_Filaire!$R$2:S45)),"")</f>
        <v>VOICE 150 UC Bino</v>
      </c>
      <c r="C60" s="8" t="str">
        <f>IFERROR(INDEX(Source_Filaire!$A$2:$M$104,Source_Filaire!$U45,COLUMNS(Source_Filaire!$R$2:T45)),"")</f>
        <v>Filaire</v>
      </c>
      <c r="D60" s="8" t="str">
        <f>IFERROR(INDEX(Source_Filaire!$A$2:$M$104,Source_Filaire!$U45,COLUMNS(Source_Filaire!$R$2:U45)),"")</f>
        <v>1599-829-209</v>
      </c>
      <c r="E60" s="43">
        <f>IFERROR(INDEX(Source_Filaire!$A$2:$M$104,Source_Filaire!$U45,COLUMNS(Source_Filaire!$R$2:V45)),"")</f>
        <v>39</v>
      </c>
      <c r="F60" s="8" t="str">
        <f>IFERROR(INDEX(Source_Filaire!$A$2:$M$104,Source_Filaire!$U45,COLUMNS(Source_Filaire!$R$2:W45)),"")</f>
        <v>Bino</v>
      </c>
      <c r="G60" s="40">
        <f>IFERROR(INDEX(Source_Filaire!$A$2:$M$104,Source_Filaire!$U45,COLUMNS(Source_Filaire!$R$2:X45)),"")</f>
        <v>0</v>
      </c>
      <c r="H60" s="40" t="str">
        <f>IFERROR(INDEX(Source_Filaire!$A$2:$M$104,Source_Filaire!$U45,COLUMNS(Source_Filaire!$R$2:Y45)),"")</f>
        <v>USB</v>
      </c>
      <c r="I60" s="40" t="str">
        <f>IFERROR(INDEX(Source_Filaire!$A$2:$M$104,Source_Filaire!$U45,COLUMNS(Source_Filaire!$R$2:Z45)),"")</f>
        <v>PC</v>
      </c>
      <c r="J60" s="40" t="str">
        <f>IFERROR(INDEX(Source_Filaire!$A$2:$M$104,Source_Filaire!$U45,COLUMNS(Source_Filaire!$R$2:AA45)),"")</f>
        <v>2 ans</v>
      </c>
      <c r="K60" s="40" t="str">
        <f>IFERROR(INDEX(Source_Filaire!$A$2:$M$104,Source_Filaire!$U45,COLUMNS(Source_Filaire!$R$2:AB45)),"")</f>
        <v>Non</v>
      </c>
      <c r="L60" s="40" t="str">
        <f>IFERROR(INDEX(Source_Filaire!$A$2:$M$104,Source_Filaire!$U45,COLUMNS(Source_Filaire!$R$2:AC45)),"")</f>
        <v>Serre-tête</v>
      </c>
      <c r="M60" s="40">
        <f>IFERROR(INDEX(Source_Filaire!$A$2:$M$104,Source_Filaire!$U45,COLUMNS(Source_Filaire!$R$2:AD45)),"")</f>
        <v>0</v>
      </c>
    </row>
    <row r="61" spans="1:13" x14ac:dyDescent="0.25">
      <c r="A61" s="8" t="str">
        <f>IFERROR(INDEX(Source_Filaire!$A$2:$M$104,Source_Filaire!$U46,COLUMNS(Source_Filaire!$R$2:R46)),"")</f>
        <v>JABRA</v>
      </c>
      <c r="B61" s="8" t="str">
        <f>IFERROR(INDEX(Source_Filaire!$A$2:$M$104,Source_Filaire!$U46,COLUMNS(Source_Filaire!$R$2:S46)),"")</f>
        <v>VOICE 150 MS Mono</v>
      </c>
      <c r="C61" s="8" t="str">
        <f>IFERROR(INDEX(Source_Filaire!$A$2:$M$104,Source_Filaire!$U46,COLUMNS(Source_Filaire!$R$2:T46)),"")</f>
        <v>Filaire</v>
      </c>
      <c r="D61" s="8" t="str">
        <f>IFERROR(INDEX(Source_Filaire!$A$2:$M$104,Source_Filaire!$U46,COLUMNS(Source_Filaire!$R$2:U46)),"")</f>
        <v>1593-823-109</v>
      </c>
      <c r="E61" s="43">
        <f>IFERROR(INDEX(Source_Filaire!$A$2:$M$104,Source_Filaire!$U46,COLUMNS(Source_Filaire!$R$2:V46)),"")</f>
        <v>34</v>
      </c>
      <c r="F61" s="8" t="str">
        <f>IFERROR(INDEX(Source_Filaire!$A$2:$M$104,Source_Filaire!$U46,COLUMNS(Source_Filaire!$R$2:W46)),"")</f>
        <v>Mono</v>
      </c>
      <c r="G61" s="40">
        <f>IFERROR(INDEX(Source_Filaire!$A$2:$M$104,Source_Filaire!$U46,COLUMNS(Source_Filaire!$R$2:X46)),"")</f>
        <v>0</v>
      </c>
      <c r="H61" s="40" t="str">
        <f>IFERROR(INDEX(Source_Filaire!$A$2:$M$104,Source_Filaire!$U46,COLUMNS(Source_Filaire!$R$2:Y46)),"")</f>
        <v>USB</v>
      </c>
      <c r="I61" s="40" t="str">
        <f>IFERROR(INDEX(Source_Filaire!$A$2:$M$104,Source_Filaire!$U46,COLUMNS(Source_Filaire!$R$2:Z46)),"")</f>
        <v>PC</v>
      </c>
      <c r="J61" s="40" t="str">
        <f>IFERROR(INDEX(Source_Filaire!$A$2:$M$104,Source_Filaire!$U46,COLUMNS(Source_Filaire!$R$2:AA46)),"")</f>
        <v>2 ans</v>
      </c>
      <c r="K61" s="40" t="str">
        <f>IFERROR(INDEX(Source_Filaire!$A$2:$M$104,Source_Filaire!$U46,COLUMNS(Source_Filaire!$R$2:AB46)),"")</f>
        <v>Oui</v>
      </c>
      <c r="L61" s="40" t="str">
        <f>IFERROR(INDEX(Source_Filaire!$A$2:$M$104,Source_Filaire!$U46,COLUMNS(Source_Filaire!$R$2:AC46)),"")</f>
        <v>Serre-tête</v>
      </c>
      <c r="M61" s="40">
        <f>IFERROR(INDEX(Source_Filaire!$A$2:$M$104,Source_Filaire!$U46,COLUMNS(Source_Filaire!$R$2:AD46)),"")</f>
        <v>0</v>
      </c>
    </row>
    <row r="62" spans="1:13" x14ac:dyDescent="0.25">
      <c r="A62" s="8" t="str">
        <f>IFERROR(INDEX(Source_Filaire!$A$2:$M$104,Source_Filaire!$U47,COLUMNS(Source_Filaire!$R$2:R47)),"")</f>
        <v>JABRA</v>
      </c>
      <c r="B62" s="8" t="str">
        <f>IFERROR(INDEX(Source_Filaire!$A$2:$M$104,Source_Filaire!$U47,COLUMNS(Source_Filaire!$R$2:S47)),"")</f>
        <v>VOICE 150 MS Bino</v>
      </c>
      <c r="C62" s="8" t="str">
        <f>IFERROR(INDEX(Source_Filaire!$A$2:$M$104,Source_Filaire!$U47,COLUMNS(Source_Filaire!$R$2:T47)),"")</f>
        <v>Filaire</v>
      </c>
      <c r="D62" s="8" t="str">
        <f>IFERROR(INDEX(Source_Filaire!$A$2:$M$104,Source_Filaire!$U47,COLUMNS(Source_Filaire!$R$2:U47)),"")</f>
        <v>1599-823-109</v>
      </c>
      <c r="E62" s="43">
        <f>IFERROR(INDEX(Source_Filaire!$A$2:$M$104,Source_Filaire!$U47,COLUMNS(Source_Filaire!$R$2:V47)),"")</f>
        <v>39</v>
      </c>
      <c r="F62" s="8" t="str">
        <f>IFERROR(INDEX(Source_Filaire!$A$2:$M$104,Source_Filaire!$U47,COLUMNS(Source_Filaire!$R$2:W47)),"")</f>
        <v>Bino</v>
      </c>
      <c r="G62" s="40">
        <f>IFERROR(INDEX(Source_Filaire!$A$2:$M$104,Source_Filaire!$U47,COLUMNS(Source_Filaire!$R$2:X47)),"")</f>
        <v>0</v>
      </c>
      <c r="H62" s="40" t="str">
        <f>IFERROR(INDEX(Source_Filaire!$A$2:$M$104,Source_Filaire!$U47,COLUMNS(Source_Filaire!$R$2:Y47)),"")</f>
        <v>USB</v>
      </c>
      <c r="I62" s="40" t="str">
        <f>IFERROR(INDEX(Source_Filaire!$A$2:$M$104,Source_Filaire!$U47,COLUMNS(Source_Filaire!$R$2:Z47)),"")</f>
        <v>PC</v>
      </c>
      <c r="J62" s="40" t="str">
        <f>IFERROR(INDEX(Source_Filaire!$A$2:$M$104,Source_Filaire!$U47,COLUMNS(Source_Filaire!$R$2:AA47)),"")</f>
        <v>2 ans</v>
      </c>
      <c r="K62" s="40" t="str">
        <f>IFERROR(INDEX(Source_Filaire!$A$2:$M$104,Source_Filaire!$U47,COLUMNS(Source_Filaire!$R$2:AB47)),"")</f>
        <v>Oui</v>
      </c>
      <c r="L62" s="40" t="str">
        <f>IFERROR(INDEX(Source_Filaire!$A$2:$M$104,Source_Filaire!$U47,COLUMNS(Source_Filaire!$R$2:AC47)),"")</f>
        <v>Serre-tête</v>
      </c>
      <c r="M62" s="40">
        <f>IFERROR(INDEX(Source_Filaire!$A$2:$M$104,Source_Filaire!$U47,COLUMNS(Source_Filaire!$R$2:AD47)),"")</f>
        <v>0</v>
      </c>
    </row>
    <row r="63" spans="1:13" x14ac:dyDescent="0.25">
      <c r="A63" s="8" t="str">
        <f>IFERROR(INDEX(Source_Filaire!$A$2:$M$104,Source_Filaire!$U48,COLUMNS(Source_Filaire!$R$2:R48)),"")</f>
        <v>JABRA</v>
      </c>
      <c r="B63" s="8" t="str">
        <f>IFERROR(INDEX(Source_Filaire!$A$2:$M$104,Source_Filaire!$U48,COLUMNS(Source_Filaire!$R$2:S48)),"")</f>
        <v>VOICE 250 UC</v>
      </c>
      <c r="C63" s="8" t="str">
        <f>IFERROR(INDEX(Source_Filaire!$A$2:$M$104,Source_Filaire!$U48,COLUMNS(Source_Filaire!$R$2:T48)),"")</f>
        <v>Filaire</v>
      </c>
      <c r="D63" s="8" t="str">
        <f>IFERROR(INDEX(Source_Filaire!$A$2:$M$104,Source_Filaire!$U48,COLUMNS(Source_Filaire!$R$2:U48)),"")</f>
        <v>2507-829-209</v>
      </c>
      <c r="E63" s="43">
        <f>IFERROR(INDEX(Source_Filaire!$A$2:$M$104,Source_Filaire!$U48,COLUMNS(Source_Filaire!$R$2:V48)),"")</f>
        <v>44</v>
      </c>
      <c r="F63" s="8" t="str">
        <f>IFERROR(INDEX(Source_Filaire!$A$2:$M$104,Source_Filaire!$U48,COLUMNS(Source_Filaire!$R$2:W48)),"")</f>
        <v>Mono</v>
      </c>
      <c r="G63" s="40">
        <f>IFERROR(INDEX(Source_Filaire!$A$2:$M$104,Source_Filaire!$U48,COLUMNS(Source_Filaire!$R$2:X48)),"")</f>
        <v>0</v>
      </c>
      <c r="H63" s="40" t="str">
        <f>IFERROR(INDEX(Source_Filaire!$A$2:$M$104,Source_Filaire!$U48,COLUMNS(Source_Filaire!$R$2:Y48)),"")</f>
        <v>USB</v>
      </c>
      <c r="I63" s="40" t="str">
        <f>IFERROR(INDEX(Source_Filaire!$A$2:$M$104,Source_Filaire!$U48,COLUMNS(Source_Filaire!$R$2:Z48)),"")</f>
        <v>PC</v>
      </c>
      <c r="J63" s="40" t="str">
        <f>IFERROR(INDEX(Source_Filaire!$A$2:$M$104,Source_Filaire!$U48,COLUMNS(Source_Filaire!$R$2:AA48)),"")</f>
        <v>2 ans</v>
      </c>
      <c r="K63" s="40" t="str">
        <f>IFERROR(INDEX(Source_Filaire!$A$2:$M$104,Source_Filaire!$U48,COLUMNS(Source_Filaire!$R$2:AB48)),"")</f>
        <v>Non</v>
      </c>
      <c r="L63" s="40" t="str">
        <f>IFERROR(INDEX(Source_Filaire!$A$2:$M$104,Source_Filaire!$U48,COLUMNS(Source_Filaire!$R$2:AC48)),"")</f>
        <v>Contour d'oreille</v>
      </c>
      <c r="M63" s="40">
        <f>IFERROR(INDEX(Source_Filaire!$A$2:$M$104,Source_Filaire!$U48,COLUMNS(Source_Filaire!$R$2:AD48)),"")</f>
        <v>0</v>
      </c>
    </row>
    <row r="64" spans="1:13" x14ac:dyDescent="0.25">
      <c r="A64" s="8" t="str">
        <f>IFERROR(INDEX(Source_Filaire!$A$2:$M$104,Source_Filaire!$U49,COLUMNS(Source_Filaire!$R$2:R49)),"")</f>
        <v>JABRA</v>
      </c>
      <c r="B64" s="8" t="str">
        <f>IFERROR(INDEX(Source_Filaire!$A$2:$M$104,Source_Filaire!$U49,COLUMNS(Source_Filaire!$R$2:S49)),"")</f>
        <v>VOICE 250 MS</v>
      </c>
      <c r="C64" s="8" t="str">
        <f>IFERROR(INDEX(Source_Filaire!$A$2:$M$104,Source_Filaire!$U49,COLUMNS(Source_Filaire!$R$2:T49)),"")</f>
        <v>Filaire</v>
      </c>
      <c r="D64" s="8" t="str">
        <f>IFERROR(INDEX(Source_Filaire!$A$2:$M$104,Source_Filaire!$U49,COLUMNS(Source_Filaire!$R$2:U49)),"")</f>
        <v>2507-823-109</v>
      </c>
      <c r="E64" s="43">
        <f>IFERROR(INDEX(Source_Filaire!$A$2:$M$104,Source_Filaire!$U49,COLUMNS(Source_Filaire!$R$2:V49)),"")</f>
        <v>44</v>
      </c>
      <c r="F64" s="8" t="str">
        <f>IFERROR(INDEX(Source_Filaire!$A$2:$M$104,Source_Filaire!$U49,COLUMNS(Source_Filaire!$R$2:W49)),"")</f>
        <v>Mono</v>
      </c>
      <c r="G64" s="40">
        <f>IFERROR(INDEX(Source_Filaire!$A$2:$M$104,Source_Filaire!$U49,COLUMNS(Source_Filaire!$R$2:X49)),"")</f>
        <v>0</v>
      </c>
      <c r="H64" s="40" t="str">
        <f>IFERROR(INDEX(Source_Filaire!$A$2:$M$104,Source_Filaire!$U49,COLUMNS(Source_Filaire!$R$2:Y49)),"")</f>
        <v>USB</v>
      </c>
      <c r="I64" s="40" t="str">
        <f>IFERROR(INDEX(Source_Filaire!$A$2:$M$104,Source_Filaire!$U49,COLUMNS(Source_Filaire!$R$2:Z49)),"")</f>
        <v>PC</v>
      </c>
      <c r="J64" s="40" t="str">
        <f>IFERROR(INDEX(Source_Filaire!$A$2:$M$104,Source_Filaire!$U49,COLUMNS(Source_Filaire!$R$2:AA49)),"")</f>
        <v>2 ans</v>
      </c>
      <c r="K64" s="40" t="str">
        <f>IFERROR(INDEX(Source_Filaire!$A$2:$M$104,Source_Filaire!$U49,COLUMNS(Source_Filaire!$R$2:AB49)),"")</f>
        <v>Oui</v>
      </c>
      <c r="L64" s="40" t="str">
        <f>IFERROR(INDEX(Source_Filaire!$A$2:$M$104,Source_Filaire!$U49,COLUMNS(Source_Filaire!$R$2:AC49)),"")</f>
        <v>Contour d'oreille</v>
      </c>
      <c r="M64" s="40">
        <f>IFERROR(INDEX(Source_Filaire!$A$2:$M$104,Source_Filaire!$U49,COLUMNS(Source_Filaire!$R$2:AD49)),"")</f>
        <v>0</v>
      </c>
    </row>
    <row r="65" spans="1:13" x14ac:dyDescent="0.25">
      <c r="A65" s="8" t="str">
        <f>IFERROR(INDEX(Source_Filaire!$A$2:$M$104,Source_Filaire!$U50,COLUMNS(Source_Filaire!$R$2:R50)),"")</f>
        <v>JABRA</v>
      </c>
      <c r="B65" s="8" t="str">
        <f>IFERROR(INDEX(Source_Filaire!$A$2:$M$104,Source_Filaire!$U50,COLUMNS(Source_Filaire!$R$2:S50)),"")</f>
        <v>VOICE 550 UC Mono</v>
      </c>
      <c r="C65" s="8" t="str">
        <f>IFERROR(INDEX(Source_Filaire!$A$2:$M$104,Source_Filaire!$U50,COLUMNS(Source_Filaire!$R$2:T50)),"")</f>
        <v>Filaire</v>
      </c>
      <c r="D65" s="8" t="str">
        <f>IFERROR(INDEX(Source_Filaire!$A$2:$M$104,Source_Filaire!$U50,COLUMNS(Source_Filaire!$R$2:U50)),"")</f>
        <v>5593-829-209</v>
      </c>
      <c r="E65" s="43">
        <f>IFERROR(INDEX(Source_Filaire!$A$2:$M$104,Source_Filaire!$U50,COLUMNS(Source_Filaire!$R$2:V50)),"")</f>
        <v>55</v>
      </c>
      <c r="F65" s="8" t="str">
        <f>IFERROR(INDEX(Source_Filaire!$A$2:$M$104,Source_Filaire!$U50,COLUMNS(Source_Filaire!$R$2:W50)),"")</f>
        <v>Mono</v>
      </c>
      <c r="G65" s="40">
        <f>IFERROR(INDEX(Source_Filaire!$A$2:$M$104,Source_Filaire!$U50,COLUMNS(Source_Filaire!$R$2:X50)),"")</f>
        <v>0</v>
      </c>
      <c r="H65" s="40" t="str">
        <f>IFERROR(INDEX(Source_Filaire!$A$2:$M$104,Source_Filaire!$U50,COLUMNS(Source_Filaire!$R$2:Y50)),"")</f>
        <v>USB</v>
      </c>
      <c r="I65" s="40" t="str">
        <f>IFERROR(INDEX(Source_Filaire!$A$2:$M$104,Source_Filaire!$U50,COLUMNS(Source_Filaire!$R$2:Z50)),"")</f>
        <v>PC</v>
      </c>
      <c r="J65" s="40" t="str">
        <f>IFERROR(INDEX(Source_Filaire!$A$2:$M$104,Source_Filaire!$U50,COLUMNS(Source_Filaire!$R$2:AA50)),"")</f>
        <v>2 ans</v>
      </c>
      <c r="K65" s="40" t="str">
        <f>IFERROR(INDEX(Source_Filaire!$A$2:$M$104,Source_Filaire!$U50,COLUMNS(Source_Filaire!$R$2:AB50)),"")</f>
        <v>Non</v>
      </c>
      <c r="L65" s="40" t="str">
        <f>IFERROR(INDEX(Source_Filaire!$A$2:$M$104,Source_Filaire!$U50,COLUMNS(Source_Filaire!$R$2:AC50)),"")</f>
        <v>Serre-tête</v>
      </c>
      <c r="M65" s="40">
        <f>IFERROR(INDEX(Source_Filaire!$A$2:$M$104,Source_Filaire!$U50,COLUMNS(Source_Filaire!$R$2:AD50)),"")</f>
        <v>0</v>
      </c>
    </row>
    <row r="66" spans="1:13" x14ac:dyDescent="0.25">
      <c r="A66" s="8" t="str">
        <f>IFERROR(INDEX(Source_Filaire!$A$2:$M$104,Source_Filaire!$U51,COLUMNS(Source_Filaire!$R$2:R51)),"")</f>
        <v>JABRA</v>
      </c>
      <c r="B66" s="8" t="str">
        <f>IFERROR(INDEX(Source_Filaire!$A$2:$M$104,Source_Filaire!$U51,COLUMNS(Source_Filaire!$R$2:S51)),"")</f>
        <v>VOICE 550 UC Bino</v>
      </c>
      <c r="C66" s="8" t="str">
        <f>IFERROR(INDEX(Source_Filaire!$A$2:$M$104,Source_Filaire!$U51,COLUMNS(Source_Filaire!$R$2:T51)),"")</f>
        <v>Filaire</v>
      </c>
      <c r="D66" s="8" t="str">
        <f>IFERROR(INDEX(Source_Filaire!$A$2:$M$104,Source_Filaire!$U51,COLUMNS(Source_Filaire!$R$2:U51)),"")</f>
        <v>5599-829-209</v>
      </c>
      <c r="E66" s="43">
        <f>IFERROR(INDEX(Source_Filaire!$A$2:$M$104,Source_Filaire!$U51,COLUMNS(Source_Filaire!$R$2:V51)),"")</f>
        <v>59</v>
      </c>
      <c r="F66" s="8" t="str">
        <f>IFERROR(INDEX(Source_Filaire!$A$2:$M$104,Source_Filaire!$U51,COLUMNS(Source_Filaire!$R$2:W51)),"")</f>
        <v>Bino</v>
      </c>
      <c r="G66" s="40">
        <f>IFERROR(INDEX(Source_Filaire!$A$2:$M$104,Source_Filaire!$U51,COLUMNS(Source_Filaire!$R$2:X51)),"")</f>
        <v>0</v>
      </c>
      <c r="H66" s="40" t="str">
        <f>IFERROR(INDEX(Source_Filaire!$A$2:$M$104,Source_Filaire!$U51,COLUMNS(Source_Filaire!$R$2:Y51)),"")</f>
        <v>USB</v>
      </c>
      <c r="I66" s="40" t="str">
        <f>IFERROR(INDEX(Source_Filaire!$A$2:$M$104,Source_Filaire!$U51,COLUMNS(Source_Filaire!$R$2:Z51)),"")</f>
        <v>PC</v>
      </c>
      <c r="J66" s="40" t="str">
        <f>IFERROR(INDEX(Source_Filaire!$A$2:$M$104,Source_Filaire!$U51,COLUMNS(Source_Filaire!$R$2:AA51)),"")</f>
        <v>2 ans</v>
      </c>
      <c r="K66" s="40" t="str">
        <f>IFERROR(INDEX(Source_Filaire!$A$2:$M$104,Source_Filaire!$U51,COLUMNS(Source_Filaire!$R$2:AB51)),"")</f>
        <v>Non</v>
      </c>
      <c r="L66" s="40" t="str">
        <f>IFERROR(INDEX(Source_Filaire!$A$2:$M$104,Source_Filaire!$U51,COLUMNS(Source_Filaire!$R$2:AC51)),"")</f>
        <v>Serre-tête</v>
      </c>
      <c r="M66" s="40">
        <f>IFERROR(INDEX(Source_Filaire!$A$2:$M$104,Source_Filaire!$U51,COLUMNS(Source_Filaire!$R$2:AD51)),"")</f>
        <v>0</v>
      </c>
    </row>
    <row r="67" spans="1:13" x14ac:dyDescent="0.25">
      <c r="A67" s="8" t="str">
        <f>IFERROR(INDEX(Source_Filaire!$A$2:$M$104,Source_Filaire!$U52,COLUMNS(Source_Filaire!$R$2:R52)),"")</f>
        <v>JABRA</v>
      </c>
      <c r="B67" s="8" t="str">
        <f>IFERROR(INDEX(Source_Filaire!$A$2:$M$104,Source_Filaire!$U52,COLUMNS(Source_Filaire!$R$2:S52)),"")</f>
        <v>VOICE 550 MS Mono</v>
      </c>
      <c r="C67" s="8" t="str">
        <f>IFERROR(INDEX(Source_Filaire!$A$2:$M$104,Source_Filaire!$U52,COLUMNS(Source_Filaire!$R$2:T52)),"")</f>
        <v>Filaire</v>
      </c>
      <c r="D67" s="8" t="str">
        <f>IFERROR(INDEX(Source_Filaire!$A$2:$M$104,Source_Filaire!$U52,COLUMNS(Source_Filaire!$R$2:U52)),"")</f>
        <v>5593-823-109</v>
      </c>
      <c r="E67" s="43">
        <f>IFERROR(INDEX(Source_Filaire!$A$2:$M$104,Source_Filaire!$U52,COLUMNS(Source_Filaire!$R$2:V52)),"")</f>
        <v>55</v>
      </c>
      <c r="F67" s="8" t="str">
        <f>IFERROR(INDEX(Source_Filaire!$A$2:$M$104,Source_Filaire!$U52,COLUMNS(Source_Filaire!$R$2:W52)),"")</f>
        <v>Mono</v>
      </c>
      <c r="G67" s="40">
        <f>IFERROR(INDEX(Source_Filaire!$A$2:$M$104,Source_Filaire!$U52,COLUMNS(Source_Filaire!$R$2:X52)),"")</f>
        <v>0</v>
      </c>
      <c r="H67" s="40" t="str">
        <f>IFERROR(INDEX(Source_Filaire!$A$2:$M$104,Source_Filaire!$U52,COLUMNS(Source_Filaire!$R$2:Y52)),"")</f>
        <v>USB</v>
      </c>
      <c r="I67" s="40" t="str">
        <f>IFERROR(INDEX(Source_Filaire!$A$2:$M$104,Source_Filaire!$U52,COLUMNS(Source_Filaire!$R$2:Z52)),"")</f>
        <v>PC</v>
      </c>
      <c r="J67" s="40" t="str">
        <f>IFERROR(INDEX(Source_Filaire!$A$2:$M$104,Source_Filaire!$U52,COLUMNS(Source_Filaire!$R$2:AA52)),"")</f>
        <v>2 ans</v>
      </c>
      <c r="K67" s="40" t="str">
        <f>IFERROR(INDEX(Source_Filaire!$A$2:$M$104,Source_Filaire!$U52,COLUMNS(Source_Filaire!$R$2:AB52)),"")</f>
        <v>Oui</v>
      </c>
      <c r="L67" s="40" t="str">
        <f>IFERROR(INDEX(Source_Filaire!$A$2:$M$104,Source_Filaire!$U52,COLUMNS(Source_Filaire!$R$2:AC52)),"")</f>
        <v>Serre-tête</v>
      </c>
      <c r="M67" s="40">
        <f>IFERROR(INDEX(Source_Filaire!$A$2:$M$104,Source_Filaire!$U52,COLUMNS(Source_Filaire!$R$2:AD52)),"")</f>
        <v>0</v>
      </c>
    </row>
    <row r="68" spans="1:13" x14ac:dyDescent="0.25">
      <c r="A68" s="8" t="str">
        <f>IFERROR(INDEX(Source_Filaire!$A$2:$M$104,Source_Filaire!$U53,COLUMNS(Source_Filaire!$R$2:R53)),"")</f>
        <v>JABRA</v>
      </c>
      <c r="B68" s="8" t="str">
        <f>IFERROR(INDEX(Source_Filaire!$A$2:$M$104,Source_Filaire!$U53,COLUMNS(Source_Filaire!$R$2:S53)),"")</f>
        <v>VOICE 550 MS Bino</v>
      </c>
      <c r="C68" s="8" t="str">
        <f>IFERROR(INDEX(Source_Filaire!$A$2:$M$104,Source_Filaire!$U53,COLUMNS(Source_Filaire!$R$2:T53)),"")</f>
        <v>Filaire</v>
      </c>
      <c r="D68" s="8" t="str">
        <f>IFERROR(INDEX(Source_Filaire!$A$2:$M$104,Source_Filaire!$U53,COLUMNS(Source_Filaire!$R$2:U53)),"")</f>
        <v>5599-823-109</v>
      </c>
      <c r="E68" s="43">
        <f>IFERROR(INDEX(Source_Filaire!$A$2:$M$104,Source_Filaire!$U53,COLUMNS(Source_Filaire!$R$2:V53)),"")</f>
        <v>59</v>
      </c>
      <c r="F68" s="8" t="str">
        <f>IFERROR(INDEX(Source_Filaire!$A$2:$M$104,Source_Filaire!$U53,COLUMNS(Source_Filaire!$R$2:W53)),"")</f>
        <v>Bino</v>
      </c>
      <c r="G68" s="40">
        <f>IFERROR(INDEX(Source_Filaire!$A$2:$M$104,Source_Filaire!$U53,COLUMNS(Source_Filaire!$R$2:X53)),"")</f>
        <v>0</v>
      </c>
      <c r="H68" s="40" t="str">
        <f>IFERROR(INDEX(Source_Filaire!$A$2:$M$104,Source_Filaire!$U53,COLUMNS(Source_Filaire!$R$2:Y53)),"")</f>
        <v>USB</v>
      </c>
      <c r="I68" s="40" t="str">
        <f>IFERROR(INDEX(Source_Filaire!$A$2:$M$104,Source_Filaire!$U53,COLUMNS(Source_Filaire!$R$2:Z53)),"")</f>
        <v>PC</v>
      </c>
      <c r="J68" s="40" t="str">
        <f>IFERROR(INDEX(Source_Filaire!$A$2:$M$104,Source_Filaire!$U53,COLUMNS(Source_Filaire!$R$2:AA53)),"")</f>
        <v>2 ans</v>
      </c>
      <c r="K68" s="40" t="str">
        <f>IFERROR(INDEX(Source_Filaire!$A$2:$M$104,Source_Filaire!$U53,COLUMNS(Source_Filaire!$R$2:AB53)),"")</f>
        <v>Oui</v>
      </c>
      <c r="L68" s="40" t="str">
        <f>IFERROR(INDEX(Source_Filaire!$A$2:$M$104,Source_Filaire!$U53,COLUMNS(Source_Filaire!$R$2:AC53)),"")</f>
        <v>Serre-tête</v>
      </c>
      <c r="M68" s="40">
        <f>IFERROR(INDEX(Source_Filaire!$A$2:$M$104,Source_Filaire!$U53,COLUMNS(Source_Filaire!$R$2:AD53)),"")</f>
        <v>0</v>
      </c>
    </row>
    <row r="69" spans="1:13" x14ac:dyDescent="0.25">
      <c r="A69" s="8" t="str">
        <f>IFERROR(INDEX(Source_Filaire!$A$2:$M$104,Source_Filaire!$U54,COLUMNS(Source_Filaire!$R$2:R54)),"")</f>
        <v>JABRA</v>
      </c>
      <c r="B69" s="8" t="str">
        <f>IFERROR(INDEX(Source_Filaire!$A$2:$M$104,Source_Filaire!$U54,COLUMNS(Source_Filaire!$R$2:S54)),"")</f>
        <v>VOICE 750 UC Mono</v>
      </c>
      <c r="C69" s="8" t="str">
        <f>IFERROR(INDEX(Source_Filaire!$A$2:$M$104,Source_Filaire!$U54,COLUMNS(Source_Filaire!$R$2:T54)),"")</f>
        <v>Filaire</v>
      </c>
      <c r="D69" s="8" t="str">
        <f>IFERROR(INDEX(Source_Filaire!$A$2:$M$104,Source_Filaire!$U54,COLUMNS(Source_Filaire!$R$2:U54)),"")</f>
        <v>7593-829-409</v>
      </c>
      <c r="E69" s="43">
        <f>IFERROR(INDEX(Source_Filaire!$A$2:$M$104,Source_Filaire!$U54,COLUMNS(Source_Filaire!$R$2:V54)),"")</f>
        <v>69</v>
      </c>
      <c r="F69" s="8" t="str">
        <f>IFERROR(INDEX(Source_Filaire!$A$2:$M$104,Source_Filaire!$U54,COLUMNS(Source_Filaire!$R$2:W54)),"")</f>
        <v>Mono</v>
      </c>
      <c r="G69" s="40">
        <f>IFERROR(INDEX(Source_Filaire!$A$2:$M$104,Source_Filaire!$U54,COLUMNS(Source_Filaire!$R$2:X54)),"")</f>
        <v>0</v>
      </c>
      <c r="H69" s="40" t="str">
        <f>IFERROR(INDEX(Source_Filaire!$A$2:$M$104,Source_Filaire!$U54,COLUMNS(Source_Filaire!$R$2:Y54)),"")</f>
        <v>USB</v>
      </c>
      <c r="I69" s="40" t="str">
        <f>IFERROR(INDEX(Source_Filaire!$A$2:$M$104,Source_Filaire!$U54,COLUMNS(Source_Filaire!$R$2:Z54)),"")</f>
        <v>PC</v>
      </c>
      <c r="J69" s="40" t="str">
        <f>IFERROR(INDEX(Source_Filaire!$A$2:$M$104,Source_Filaire!$U54,COLUMNS(Source_Filaire!$R$2:AA54)),"")</f>
        <v>2 ans</v>
      </c>
      <c r="K69" s="40" t="str">
        <f>IFERROR(INDEX(Source_Filaire!$A$2:$M$104,Source_Filaire!$U54,COLUMNS(Source_Filaire!$R$2:AB54)),"")</f>
        <v>Non</v>
      </c>
      <c r="L69" s="40" t="str">
        <f>IFERROR(INDEX(Source_Filaire!$A$2:$M$104,Source_Filaire!$U54,COLUMNS(Source_Filaire!$R$2:AC54)),"")</f>
        <v>Serre-tête</v>
      </c>
      <c r="M69" s="40">
        <f>IFERROR(INDEX(Source_Filaire!$A$2:$M$104,Source_Filaire!$U54,COLUMNS(Source_Filaire!$R$2:AD54)),"")</f>
        <v>0</v>
      </c>
    </row>
    <row r="70" spans="1:13" x14ac:dyDescent="0.25">
      <c r="A70" s="8" t="str">
        <f>IFERROR(INDEX(Source_Filaire!$A$2:$M$104,Source_Filaire!$U55,COLUMNS(Source_Filaire!$R$2:R55)),"")</f>
        <v>JABRA</v>
      </c>
      <c r="B70" s="8" t="str">
        <f>IFERROR(INDEX(Source_Filaire!$A$2:$M$104,Source_Filaire!$U55,COLUMNS(Source_Filaire!$R$2:S55)),"")</f>
        <v>VOICE 750 UC Bino</v>
      </c>
      <c r="C70" s="8" t="str">
        <f>IFERROR(INDEX(Source_Filaire!$A$2:$M$104,Source_Filaire!$U55,COLUMNS(Source_Filaire!$R$2:T55)),"")</f>
        <v>Filaire</v>
      </c>
      <c r="D70" s="8" t="str">
        <f>IFERROR(INDEX(Source_Filaire!$A$2:$M$104,Source_Filaire!$U55,COLUMNS(Source_Filaire!$R$2:U55)),"")</f>
        <v>7599-829-409</v>
      </c>
      <c r="E70" s="43">
        <f>IFERROR(INDEX(Source_Filaire!$A$2:$M$104,Source_Filaire!$U55,COLUMNS(Source_Filaire!$R$2:V55)),"")</f>
        <v>79</v>
      </c>
      <c r="F70" s="8" t="str">
        <f>IFERROR(INDEX(Source_Filaire!$A$2:$M$104,Source_Filaire!$U55,COLUMNS(Source_Filaire!$R$2:W55)),"")</f>
        <v>Bino</v>
      </c>
      <c r="G70" s="40">
        <f>IFERROR(INDEX(Source_Filaire!$A$2:$M$104,Source_Filaire!$U55,COLUMNS(Source_Filaire!$R$2:X55)),"")</f>
        <v>0</v>
      </c>
      <c r="H70" s="40" t="str">
        <f>IFERROR(INDEX(Source_Filaire!$A$2:$M$104,Source_Filaire!$U55,COLUMNS(Source_Filaire!$R$2:Y55)),"")</f>
        <v>USB</v>
      </c>
      <c r="I70" s="40" t="str">
        <f>IFERROR(INDEX(Source_Filaire!$A$2:$M$104,Source_Filaire!$U55,COLUMNS(Source_Filaire!$R$2:Z55)),"")</f>
        <v>PC</v>
      </c>
      <c r="J70" s="40" t="str">
        <f>IFERROR(INDEX(Source_Filaire!$A$2:$M$104,Source_Filaire!$U55,COLUMNS(Source_Filaire!$R$2:AA55)),"")</f>
        <v>2 ans</v>
      </c>
      <c r="K70" s="40" t="str">
        <f>IFERROR(INDEX(Source_Filaire!$A$2:$M$104,Source_Filaire!$U55,COLUMNS(Source_Filaire!$R$2:AB55)),"")</f>
        <v>Non</v>
      </c>
      <c r="L70" s="40" t="str">
        <f>IFERROR(INDEX(Source_Filaire!$A$2:$M$104,Source_Filaire!$U55,COLUMNS(Source_Filaire!$R$2:AC55)),"")</f>
        <v>Serre-tête</v>
      </c>
      <c r="M70" s="40">
        <f>IFERROR(INDEX(Source_Filaire!$A$2:$M$104,Source_Filaire!$U55,COLUMNS(Source_Filaire!$R$2:AD55)),"")</f>
        <v>0</v>
      </c>
    </row>
    <row r="71" spans="1:13" x14ac:dyDescent="0.25">
      <c r="A71" s="8" t="str">
        <f>IFERROR(INDEX(Source_Filaire!$A$2:$M$104,Source_Filaire!$U56,COLUMNS(Source_Filaire!$R$2:R56)),"")</f>
        <v>JABRA</v>
      </c>
      <c r="B71" s="8" t="str">
        <f>IFERROR(INDEX(Source_Filaire!$A$2:$M$104,Source_Filaire!$U56,COLUMNS(Source_Filaire!$R$2:S56)),"")</f>
        <v>VOICE 750 MS Mono</v>
      </c>
      <c r="C71" s="8" t="str">
        <f>IFERROR(INDEX(Source_Filaire!$A$2:$M$104,Source_Filaire!$U56,COLUMNS(Source_Filaire!$R$2:T56)),"")</f>
        <v>Filaire</v>
      </c>
      <c r="D71" s="8" t="str">
        <f>IFERROR(INDEX(Source_Filaire!$A$2:$M$104,Source_Filaire!$U56,COLUMNS(Source_Filaire!$R$2:U56)),"")</f>
        <v>7593-823-309</v>
      </c>
      <c r="E71" s="43">
        <f>IFERROR(INDEX(Source_Filaire!$A$2:$M$104,Source_Filaire!$U56,COLUMNS(Source_Filaire!$R$2:V56)),"")</f>
        <v>69</v>
      </c>
      <c r="F71" s="8" t="str">
        <f>IFERROR(INDEX(Source_Filaire!$A$2:$M$104,Source_Filaire!$U56,COLUMNS(Source_Filaire!$R$2:W56)),"")</f>
        <v>Mono</v>
      </c>
      <c r="G71" s="40">
        <f>IFERROR(INDEX(Source_Filaire!$A$2:$M$104,Source_Filaire!$U56,COLUMNS(Source_Filaire!$R$2:X56)),"")</f>
        <v>0</v>
      </c>
      <c r="H71" s="40" t="str">
        <f>IFERROR(INDEX(Source_Filaire!$A$2:$M$104,Source_Filaire!$U56,COLUMNS(Source_Filaire!$R$2:Y56)),"")</f>
        <v>USB</v>
      </c>
      <c r="I71" s="40" t="str">
        <f>IFERROR(INDEX(Source_Filaire!$A$2:$M$104,Source_Filaire!$U56,COLUMNS(Source_Filaire!$R$2:Z56)),"")</f>
        <v>PC</v>
      </c>
      <c r="J71" s="40" t="str">
        <f>IFERROR(INDEX(Source_Filaire!$A$2:$M$104,Source_Filaire!$U56,COLUMNS(Source_Filaire!$R$2:AA56)),"")</f>
        <v>2 ans</v>
      </c>
      <c r="K71" s="40" t="str">
        <f>IFERROR(INDEX(Source_Filaire!$A$2:$M$104,Source_Filaire!$U56,COLUMNS(Source_Filaire!$R$2:AB56)),"")</f>
        <v>Oui</v>
      </c>
      <c r="L71" s="40" t="str">
        <f>IFERROR(INDEX(Source_Filaire!$A$2:$M$104,Source_Filaire!$U56,COLUMNS(Source_Filaire!$R$2:AC56)),"")</f>
        <v>Serre-tête</v>
      </c>
      <c r="M71" s="40">
        <f>IFERROR(INDEX(Source_Filaire!$A$2:$M$104,Source_Filaire!$U56,COLUMNS(Source_Filaire!$R$2:AD56)),"")</f>
        <v>0</v>
      </c>
    </row>
    <row r="72" spans="1:13" x14ac:dyDescent="0.25">
      <c r="A72" s="8" t="str">
        <f>IFERROR(INDEX(Source_Filaire!$A$2:$M$104,Source_Filaire!$U57,COLUMNS(Source_Filaire!$R$2:R57)),"")</f>
        <v>JABRA</v>
      </c>
      <c r="B72" s="8" t="str">
        <f>IFERROR(INDEX(Source_Filaire!$A$2:$M$104,Source_Filaire!$U57,COLUMNS(Source_Filaire!$R$2:S57)),"")</f>
        <v>VOICE 750 MS Bino</v>
      </c>
      <c r="C72" s="8" t="str">
        <f>IFERROR(INDEX(Source_Filaire!$A$2:$M$104,Source_Filaire!$U57,COLUMNS(Source_Filaire!$R$2:T57)),"")</f>
        <v>Filaire</v>
      </c>
      <c r="D72" s="8" t="str">
        <f>IFERROR(INDEX(Source_Filaire!$A$2:$M$104,Source_Filaire!$U57,COLUMNS(Source_Filaire!$R$2:U57)),"")</f>
        <v>7599-823-309</v>
      </c>
      <c r="E72" s="43">
        <f>IFERROR(INDEX(Source_Filaire!$A$2:$M$104,Source_Filaire!$U57,COLUMNS(Source_Filaire!$R$2:V57)),"")</f>
        <v>79</v>
      </c>
      <c r="F72" s="8" t="str">
        <f>IFERROR(INDEX(Source_Filaire!$A$2:$M$104,Source_Filaire!$U57,COLUMNS(Source_Filaire!$R$2:W57)),"")</f>
        <v>Bino</v>
      </c>
      <c r="G72" s="40">
        <f>IFERROR(INDEX(Source_Filaire!$A$2:$M$104,Source_Filaire!$U57,COLUMNS(Source_Filaire!$R$2:X57)),"")</f>
        <v>0</v>
      </c>
      <c r="H72" s="40" t="str">
        <f>IFERROR(INDEX(Source_Filaire!$A$2:$M$104,Source_Filaire!$U57,COLUMNS(Source_Filaire!$R$2:Y57)),"")</f>
        <v>USB</v>
      </c>
      <c r="I72" s="40" t="str">
        <f>IFERROR(INDEX(Source_Filaire!$A$2:$M$104,Source_Filaire!$U57,COLUMNS(Source_Filaire!$R$2:Z57)),"")</f>
        <v>PC</v>
      </c>
      <c r="J72" s="40" t="str">
        <f>IFERROR(INDEX(Source_Filaire!$A$2:$M$104,Source_Filaire!$U57,COLUMNS(Source_Filaire!$R$2:AA57)),"")</f>
        <v>2 ans</v>
      </c>
      <c r="K72" s="40" t="str">
        <f>IFERROR(INDEX(Source_Filaire!$A$2:$M$104,Source_Filaire!$U57,COLUMNS(Source_Filaire!$R$2:AB57)),"")</f>
        <v>Oui</v>
      </c>
      <c r="L72" s="40" t="str">
        <f>IFERROR(INDEX(Source_Filaire!$A$2:$M$104,Source_Filaire!$U57,COLUMNS(Source_Filaire!$R$2:AC57)),"")</f>
        <v>Serre-tête</v>
      </c>
      <c r="M72" s="40">
        <f>IFERROR(INDEX(Source_Filaire!$A$2:$M$104,Source_Filaire!$U57,COLUMNS(Source_Filaire!$R$2:AD57)),"")</f>
        <v>0</v>
      </c>
    </row>
    <row r="73" spans="1:13" x14ac:dyDescent="0.25">
      <c r="A73" s="8" t="str">
        <f>IFERROR(INDEX(Source_Filaire!$A$2:$M$104,Source_Filaire!$U58,COLUMNS(Source_Filaire!$R$2:R58)),"")</f>
        <v xml:space="preserve">PLANTRONICS </v>
      </c>
      <c r="B73" s="8" t="str">
        <f>IFERROR(INDEX(Source_Filaire!$A$2:$M$104,Source_Filaire!$U58,COLUMNS(Source_Filaire!$R$2:S58)),"")</f>
        <v>Blackwire C215</v>
      </c>
      <c r="C73" s="8" t="str">
        <f>IFERROR(INDEX(Source_Filaire!$A$2:$M$104,Source_Filaire!$U58,COLUMNS(Source_Filaire!$R$2:T58)),"")</f>
        <v>Filaire</v>
      </c>
      <c r="D73" s="8" t="str">
        <f>IFERROR(INDEX(Source_Filaire!$A$2:$M$104,Source_Filaire!$U58,COLUMNS(Source_Filaire!$R$2:U58)),"")</f>
        <v>205203-02</v>
      </c>
      <c r="E73" s="43">
        <f>IFERROR(INDEX(Source_Filaire!$A$2:$M$104,Source_Filaire!$U58,COLUMNS(Source_Filaire!$R$2:V58)),"")</f>
        <v>37.99</v>
      </c>
      <c r="F73" s="8" t="str">
        <f>IFERROR(INDEX(Source_Filaire!$A$2:$M$104,Source_Filaire!$U58,COLUMNS(Source_Filaire!$R$2:W58)),"")</f>
        <v>Mono</v>
      </c>
      <c r="G73" s="40">
        <f>IFERROR(INDEX(Source_Filaire!$A$2:$M$104,Source_Filaire!$U58,COLUMNS(Source_Filaire!$R$2:X58)),"")</f>
        <v>0</v>
      </c>
      <c r="H73" s="40" t="str">
        <f>IFERROR(INDEX(Source_Filaire!$A$2:$M$104,Source_Filaire!$U58,COLUMNS(Source_Filaire!$R$2:Y58)),"")</f>
        <v>Jack 3,5</v>
      </c>
      <c r="I73" s="40" t="str">
        <f>IFERROR(INDEX(Source_Filaire!$A$2:$M$104,Source_Filaire!$U58,COLUMNS(Source_Filaire!$R$2:Z58)),"")</f>
        <v>PC</v>
      </c>
      <c r="J73" s="40" t="str">
        <f>IFERROR(INDEX(Source_Filaire!$A$2:$M$104,Source_Filaire!$U58,COLUMNS(Source_Filaire!$R$2:AA58)),"")</f>
        <v>2 ans</v>
      </c>
      <c r="K73" s="40" t="str">
        <f>IFERROR(INDEX(Source_Filaire!$A$2:$M$104,Source_Filaire!$U58,COLUMNS(Source_Filaire!$R$2:AB58)),"")</f>
        <v>Non</v>
      </c>
      <c r="L73" s="40" t="str">
        <f>IFERROR(INDEX(Source_Filaire!$A$2:$M$104,Source_Filaire!$U58,COLUMNS(Source_Filaire!$R$2:AC58)),"")</f>
        <v>Serre-tête</v>
      </c>
      <c r="M73" s="40">
        <f>IFERROR(INDEX(Source_Filaire!$A$2:$M$104,Source_Filaire!$U58,COLUMNS(Source_Filaire!$R$2:AD58)),"")</f>
        <v>0</v>
      </c>
    </row>
    <row r="74" spans="1:13" x14ac:dyDescent="0.25">
      <c r="A74" s="8" t="str">
        <f>IFERROR(INDEX(Source_Filaire!$A$2:$M$104,Source_Filaire!$U59,COLUMNS(Source_Filaire!$R$2:R59)),"")</f>
        <v xml:space="preserve">PLANTRONICS </v>
      </c>
      <c r="B74" s="8" t="str">
        <f>IFERROR(INDEX(Source_Filaire!$A$2:$M$104,Source_Filaire!$U59,COLUMNS(Source_Filaire!$R$2:S59)),"")</f>
        <v>Blackwire C225</v>
      </c>
      <c r="C74" s="8" t="str">
        <f>IFERROR(INDEX(Source_Filaire!$A$2:$M$104,Source_Filaire!$U59,COLUMNS(Source_Filaire!$R$2:T59)),"")</f>
        <v>Filaire</v>
      </c>
      <c r="D74" s="8" t="str">
        <f>IFERROR(INDEX(Source_Filaire!$A$2:$M$104,Source_Filaire!$U59,COLUMNS(Source_Filaire!$R$2:U59)),"")</f>
        <v>205204-02</v>
      </c>
      <c r="E74" s="43">
        <f>IFERROR(INDEX(Source_Filaire!$A$2:$M$104,Source_Filaire!$U59,COLUMNS(Source_Filaire!$R$2:V59)),"")</f>
        <v>34.99</v>
      </c>
      <c r="F74" s="8" t="str">
        <f>IFERROR(INDEX(Source_Filaire!$A$2:$M$104,Source_Filaire!$U59,COLUMNS(Source_Filaire!$R$2:W59)),"")</f>
        <v>Bino</v>
      </c>
      <c r="G74" s="40">
        <f>IFERROR(INDEX(Source_Filaire!$A$2:$M$104,Source_Filaire!$U59,COLUMNS(Source_Filaire!$R$2:X59)),"")</f>
        <v>0</v>
      </c>
      <c r="H74" s="40" t="str">
        <f>IFERROR(INDEX(Source_Filaire!$A$2:$M$104,Source_Filaire!$U59,COLUMNS(Source_Filaire!$R$2:Y59)),"")</f>
        <v>Jack 3,5</v>
      </c>
      <c r="I74" s="40" t="str">
        <f>IFERROR(INDEX(Source_Filaire!$A$2:$M$104,Source_Filaire!$U59,COLUMNS(Source_Filaire!$R$2:Z59)),"")</f>
        <v>PC</v>
      </c>
      <c r="J74" s="40" t="str">
        <f>IFERROR(INDEX(Source_Filaire!$A$2:$M$104,Source_Filaire!$U59,COLUMNS(Source_Filaire!$R$2:AA59)),"")</f>
        <v>2 ans</v>
      </c>
      <c r="K74" s="40" t="str">
        <f>IFERROR(INDEX(Source_Filaire!$A$2:$M$104,Source_Filaire!$U59,COLUMNS(Source_Filaire!$R$2:AB59)),"")</f>
        <v>Non</v>
      </c>
      <c r="L74" s="40" t="str">
        <f>IFERROR(INDEX(Source_Filaire!$A$2:$M$104,Source_Filaire!$U59,COLUMNS(Source_Filaire!$R$2:AC59)),"")</f>
        <v>Serre-tête</v>
      </c>
      <c r="M74" s="40">
        <f>IFERROR(INDEX(Source_Filaire!$A$2:$M$104,Source_Filaire!$U59,COLUMNS(Source_Filaire!$R$2:AD59)),"")</f>
        <v>0</v>
      </c>
    </row>
    <row r="75" spans="1:13" x14ac:dyDescent="0.25">
      <c r="A75" s="8" t="str">
        <f>IFERROR(INDEX(Source_Filaire!$A$2:$M$104,Source_Filaire!$U60,COLUMNS(Source_Filaire!$R$2:R60)),"")</f>
        <v xml:space="preserve">PLANTRONICS </v>
      </c>
      <c r="B75" s="8" t="str">
        <f>IFERROR(INDEX(Source_Filaire!$A$2:$M$104,Source_Filaire!$U60,COLUMNS(Source_Filaire!$R$2:S60)),"")</f>
        <v>Blackwire C310</v>
      </c>
      <c r="C75" s="8" t="str">
        <f>IFERROR(INDEX(Source_Filaire!$A$2:$M$104,Source_Filaire!$U60,COLUMNS(Source_Filaire!$R$2:T60)),"")</f>
        <v>Filaire</v>
      </c>
      <c r="D75" s="8" t="str">
        <f>IFERROR(INDEX(Source_Filaire!$A$2:$M$104,Source_Filaire!$U60,COLUMNS(Source_Filaire!$R$2:U60)),"")</f>
        <v>85618-02</v>
      </c>
      <c r="E75" s="43">
        <f>IFERROR(INDEX(Source_Filaire!$A$2:$M$104,Source_Filaire!$U60,COLUMNS(Source_Filaire!$R$2:V60)),"")</f>
        <v>39.99</v>
      </c>
      <c r="F75" s="8" t="str">
        <f>IFERROR(INDEX(Source_Filaire!$A$2:$M$104,Source_Filaire!$U60,COLUMNS(Source_Filaire!$R$2:W60)),"")</f>
        <v>Mono</v>
      </c>
      <c r="G75" s="40">
        <f>IFERROR(INDEX(Source_Filaire!$A$2:$M$104,Source_Filaire!$U60,COLUMNS(Source_Filaire!$R$2:X60)),"")</f>
        <v>0</v>
      </c>
      <c r="H75" s="40" t="str">
        <f>IFERROR(INDEX(Source_Filaire!$A$2:$M$104,Source_Filaire!$U60,COLUMNS(Source_Filaire!$R$2:Y60)),"")</f>
        <v>USB</v>
      </c>
      <c r="I75" s="40" t="str">
        <f>IFERROR(INDEX(Source_Filaire!$A$2:$M$104,Source_Filaire!$U60,COLUMNS(Source_Filaire!$R$2:Z60)),"")</f>
        <v>PC</v>
      </c>
      <c r="J75" s="40" t="str">
        <f>IFERROR(INDEX(Source_Filaire!$A$2:$M$104,Source_Filaire!$U60,COLUMNS(Source_Filaire!$R$2:AA60)),"")</f>
        <v>2 ans</v>
      </c>
      <c r="K75" s="40" t="str">
        <f>IFERROR(INDEX(Source_Filaire!$A$2:$M$104,Source_Filaire!$U60,COLUMNS(Source_Filaire!$R$2:AB60)),"")</f>
        <v>Non</v>
      </c>
      <c r="L75" s="40" t="str">
        <f>IFERROR(INDEX(Source_Filaire!$A$2:$M$104,Source_Filaire!$U60,COLUMNS(Source_Filaire!$R$2:AC60)),"")</f>
        <v>Serre-tête</v>
      </c>
      <c r="M75" s="40">
        <f>IFERROR(INDEX(Source_Filaire!$A$2:$M$104,Source_Filaire!$U60,COLUMNS(Source_Filaire!$R$2:AD60)),"")</f>
        <v>0</v>
      </c>
    </row>
    <row r="76" spans="1:13" x14ac:dyDescent="0.25">
      <c r="A76" s="8" t="str">
        <f>IFERROR(INDEX(Source_Filaire!$A$2:$M$104,Source_Filaire!$U61,COLUMNS(Source_Filaire!$R$2:R61)),"")</f>
        <v xml:space="preserve">PLANTRONICS </v>
      </c>
      <c r="B76" s="8" t="str">
        <f>IFERROR(INDEX(Source_Filaire!$A$2:$M$104,Source_Filaire!$U61,COLUMNS(Source_Filaire!$R$2:S61)),"")</f>
        <v>Blackwire C310-M</v>
      </c>
      <c r="C76" s="8" t="str">
        <f>IFERROR(INDEX(Source_Filaire!$A$2:$M$104,Source_Filaire!$U61,COLUMNS(Source_Filaire!$R$2:T61)),"")</f>
        <v>Filaire</v>
      </c>
      <c r="D76" s="8" t="str">
        <f>IFERROR(INDEX(Source_Filaire!$A$2:$M$104,Source_Filaire!$U61,COLUMNS(Source_Filaire!$R$2:U61)),"")</f>
        <v>85618-01</v>
      </c>
      <c r="E76" s="43">
        <f>IFERROR(INDEX(Source_Filaire!$A$2:$M$104,Source_Filaire!$U61,COLUMNS(Source_Filaire!$R$2:V61)),"")</f>
        <v>39.99</v>
      </c>
      <c r="F76" s="8" t="str">
        <f>IFERROR(INDEX(Source_Filaire!$A$2:$M$104,Source_Filaire!$U61,COLUMNS(Source_Filaire!$R$2:W61)),"")</f>
        <v>Mono</v>
      </c>
      <c r="G76" s="40">
        <f>IFERROR(INDEX(Source_Filaire!$A$2:$M$104,Source_Filaire!$U61,COLUMNS(Source_Filaire!$R$2:X61)),"")</f>
        <v>0</v>
      </c>
      <c r="H76" s="40" t="str">
        <f>IFERROR(INDEX(Source_Filaire!$A$2:$M$104,Source_Filaire!$U61,COLUMNS(Source_Filaire!$R$2:Y61)),"")</f>
        <v>USB</v>
      </c>
      <c r="I76" s="40" t="str">
        <f>IFERROR(INDEX(Source_Filaire!$A$2:$M$104,Source_Filaire!$U61,COLUMNS(Source_Filaire!$R$2:Z61)),"")</f>
        <v>PC</v>
      </c>
      <c r="J76" s="40" t="str">
        <f>IFERROR(INDEX(Source_Filaire!$A$2:$M$104,Source_Filaire!$U61,COLUMNS(Source_Filaire!$R$2:AA61)),"")</f>
        <v>2 ans</v>
      </c>
      <c r="K76" s="40" t="str">
        <f>IFERROR(INDEX(Source_Filaire!$A$2:$M$104,Source_Filaire!$U61,COLUMNS(Source_Filaire!$R$2:AB61)),"")</f>
        <v>Oui</v>
      </c>
      <c r="L76" s="40" t="str">
        <f>IFERROR(INDEX(Source_Filaire!$A$2:$M$104,Source_Filaire!$U61,COLUMNS(Source_Filaire!$R$2:AC61)),"")</f>
        <v>Serre-tête</v>
      </c>
      <c r="M76" s="40">
        <f>IFERROR(INDEX(Source_Filaire!$A$2:$M$104,Source_Filaire!$U61,COLUMNS(Source_Filaire!$R$2:AD61)),"")</f>
        <v>0</v>
      </c>
    </row>
    <row r="77" spans="1:13" x14ac:dyDescent="0.25">
      <c r="A77" s="8" t="str">
        <f>IFERROR(INDEX(Source_Filaire!$A$2:$M$104,Source_Filaire!$U62,COLUMNS(Source_Filaire!$R$2:R62)),"")</f>
        <v xml:space="preserve">PLANTRONICS </v>
      </c>
      <c r="B77" s="8" t="str">
        <f>IFERROR(INDEX(Source_Filaire!$A$2:$M$104,Source_Filaire!$U62,COLUMNS(Source_Filaire!$R$2:S62)),"")</f>
        <v>Blackwire C320</v>
      </c>
      <c r="C77" s="8" t="str">
        <f>IFERROR(INDEX(Source_Filaire!$A$2:$M$104,Source_Filaire!$U62,COLUMNS(Source_Filaire!$R$2:T62)),"")</f>
        <v>Filaire</v>
      </c>
      <c r="D77" s="8" t="str">
        <f>IFERROR(INDEX(Source_Filaire!$A$2:$M$104,Source_Filaire!$U62,COLUMNS(Source_Filaire!$R$2:U62)),"")</f>
        <v>85619-02</v>
      </c>
      <c r="E77" s="43">
        <f>IFERROR(INDEX(Source_Filaire!$A$2:$M$104,Source_Filaire!$U62,COLUMNS(Source_Filaire!$R$2:V62)),"")</f>
        <v>49.99</v>
      </c>
      <c r="F77" s="8" t="str">
        <f>IFERROR(INDEX(Source_Filaire!$A$2:$M$104,Source_Filaire!$U62,COLUMNS(Source_Filaire!$R$2:W62)),"")</f>
        <v>Bino</v>
      </c>
      <c r="G77" s="40">
        <f>IFERROR(INDEX(Source_Filaire!$A$2:$M$104,Source_Filaire!$U62,COLUMNS(Source_Filaire!$R$2:X62)),"")</f>
        <v>0</v>
      </c>
      <c r="H77" s="40" t="str">
        <f>IFERROR(INDEX(Source_Filaire!$A$2:$M$104,Source_Filaire!$U62,COLUMNS(Source_Filaire!$R$2:Y62)),"")</f>
        <v>USB</v>
      </c>
      <c r="I77" s="40" t="str">
        <f>IFERROR(INDEX(Source_Filaire!$A$2:$M$104,Source_Filaire!$U62,COLUMNS(Source_Filaire!$R$2:Z62)),"")</f>
        <v>PC</v>
      </c>
      <c r="J77" s="40" t="str">
        <f>IFERROR(INDEX(Source_Filaire!$A$2:$M$104,Source_Filaire!$U62,COLUMNS(Source_Filaire!$R$2:AA62)),"")</f>
        <v>2 ans</v>
      </c>
      <c r="K77" s="40" t="str">
        <f>IFERROR(INDEX(Source_Filaire!$A$2:$M$104,Source_Filaire!$U62,COLUMNS(Source_Filaire!$R$2:AB62)),"")</f>
        <v>Non</v>
      </c>
      <c r="L77" s="40" t="str">
        <f>IFERROR(INDEX(Source_Filaire!$A$2:$M$104,Source_Filaire!$U62,COLUMNS(Source_Filaire!$R$2:AC62)),"")</f>
        <v>Serre-tête</v>
      </c>
      <c r="M77" s="40">
        <f>IFERROR(INDEX(Source_Filaire!$A$2:$M$104,Source_Filaire!$U62,COLUMNS(Source_Filaire!$R$2:AD62)),"")</f>
        <v>0</v>
      </c>
    </row>
    <row r="78" spans="1:13" x14ac:dyDescent="0.25">
      <c r="A78" s="8" t="str">
        <f>IFERROR(INDEX(Source_Filaire!$A$2:$M$104,Source_Filaire!$U63,COLUMNS(Source_Filaire!$R$2:R63)),"")</f>
        <v xml:space="preserve">PLANTRONICS </v>
      </c>
      <c r="B78" s="8" t="str">
        <f>IFERROR(INDEX(Source_Filaire!$A$2:$M$104,Source_Filaire!$U63,COLUMNS(Source_Filaire!$R$2:S63)),"")</f>
        <v>Blackwire C320-M</v>
      </c>
      <c r="C78" s="8" t="str">
        <f>IFERROR(INDEX(Source_Filaire!$A$2:$M$104,Source_Filaire!$U63,COLUMNS(Source_Filaire!$R$2:T63)),"")</f>
        <v>Filaire</v>
      </c>
      <c r="D78" s="8" t="str">
        <f>IFERROR(INDEX(Source_Filaire!$A$2:$M$104,Source_Filaire!$U63,COLUMNS(Source_Filaire!$R$2:U63)),"")</f>
        <v>85619-01</v>
      </c>
      <c r="E78" s="43">
        <f>IFERROR(INDEX(Source_Filaire!$A$2:$M$104,Source_Filaire!$U63,COLUMNS(Source_Filaire!$R$2:V63)),"")</f>
        <v>49.99</v>
      </c>
      <c r="F78" s="8" t="str">
        <f>IFERROR(INDEX(Source_Filaire!$A$2:$M$104,Source_Filaire!$U63,COLUMNS(Source_Filaire!$R$2:W63)),"")</f>
        <v>Bino</v>
      </c>
      <c r="G78" s="40">
        <f>IFERROR(INDEX(Source_Filaire!$A$2:$M$104,Source_Filaire!$U63,COLUMNS(Source_Filaire!$R$2:X63)),"")</f>
        <v>0</v>
      </c>
      <c r="H78" s="40" t="str">
        <f>IFERROR(INDEX(Source_Filaire!$A$2:$M$104,Source_Filaire!$U63,COLUMNS(Source_Filaire!$R$2:Y63)),"")</f>
        <v>USB</v>
      </c>
      <c r="I78" s="40" t="str">
        <f>IFERROR(INDEX(Source_Filaire!$A$2:$M$104,Source_Filaire!$U63,COLUMNS(Source_Filaire!$R$2:Z63)),"")</f>
        <v>PC</v>
      </c>
      <c r="J78" s="40" t="str">
        <f>IFERROR(INDEX(Source_Filaire!$A$2:$M$104,Source_Filaire!$U63,COLUMNS(Source_Filaire!$R$2:AA63)),"")</f>
        <v>2 ans</v>
      </c>
      <c r="K78" s="40" t="str">
        <f>IFERROR(INDEX(Source_Filaire!$A$2:$M$104,Source_Filaire!$U63,COLUMNS(Source_Filaire!$R$2:AB63)),"")</f>
        <v>Oui</v>
      </c>
      <c r="L78" s="40" t="str">
        <f>IFERROR(INDEX(Source_Filaire!$A$2:$M$104,Source_Filaire!$U63,COLUMNS(Source_Filaire!$R$2:AC63)),"")</f>
        <v>Serre-tête</v>
      </c>
      <c r="M78" s="40">
        <f>IFERROR(INDEX(Source_Filaire!$A$2:$M$104,Source_Filaire!$U63,COLUMNS(Source_Filaire!$R$2:AD63)),"")</f>
        <v>0</v>
      </c>
    </row>
    <row r="79" spans="1:13" x14ac:dyDescent="0.25">
      <c r="A79" s="8" t="str">
        <f>IFERROR(INDEX(Source_Filaire!$A$2:$M$104,Source_Filaire!$U64,COLUMNS(Source_Filaire!$R$2:R64)),"")</f>
        <v xml:space="preserve">PLANTRONICS </v>
      </c>
      <c r="B79" s="8" t="str">
        <f>IFERROR(INDEX(Source_Filaire!$A$2:$M$104,Source_Filaire!$U64,COLUMNS(Source_Filaire!$R$2:S64)),"")</f>
        <v>Blackwire C315</v>
      </c>
      <c r="C79" s="8" t="str">
        <f>IFERROR(INDEX(Source_Filaire!$A$2:$M$104,Source_Filaire!$U64,COLUMNS(Source_Filaire!$R$2:T64)),"")</f>
        <v>Filaire</v>
      </c>
      <c r="D79" s="8" t="str">
        <f>IFERROR(INDEX(Source_Filaire!$A$2:$M$104,Source_Filaire!$U64,COLUMNS(Source_Filaire!$R$2:U64)),"")</f>
        <v>204440-02</v>
      </c>
      <c r="E79" s="43">
        <f>IFERROR(INDEX(Source_Filaire!$A$2:$M$104,Source_Filaire!$U64,COLUMNS(Source_Filaire!$R$2:V64)),"")</f>
        <v>70</v>
      </c>
      <c r="F79" s="8" t="str">
        <f>IFERROR(INDEX(Source_Filaire!$A$2:$M$104,Source_Filaire!$U64,COLUMNS(Source_Filaire!$R$2:W64)),"")</f>
        <v>Mono</v>
      </c>
      <c r="G79" s="40">
        <f>IFERROR(INDEX(Source_Filaire!$A$2:$M$104,Source_Filaire!$U64,COLUMNS(Source_Filaire!$R$2:X64)),"")</f>
        <v>0</v>
      </c>
      <c r="H79" s="40" t="str">
        <f>IFERROR(INDEX(Source_Filaire!$A$2:$M$104,Source_Filaire!$U64,COLUMNS(Source_Filaire!$R$2:Y64)),"")</f>
        <v>USB/Jack 3,5</v>
      </c>
      <c r="I79" s="40" t="str">
        <f>IFERROR(INDEX(Source_Filaire!$A$2:$M$104,Source_Filaire!$U64,COLUMNS(Source_Filaire!$R$2:Z64)),"")</f>
        <v>PC</v>
      </c>
      <c r="J79" s="40" t="str">
        <f>IFERROR(INDEX(Source_Filaire!$A$2:$M$104,Source_Filaire!$U64,COLUMNS(Source_Filaire!$R$2:AA64)),"")</f>
        <v>2 ans</v>
      </c>
      <c r="K79" s="40" t="str">
        <f>IFERROR(INDEX(Source_Filaire!$A$2:$M$104,Source_Filaire!$U64,COLUMNS(Source_Filaire!$R$2:AB64)),"")</f>
        <v>Non</v>
      </c>
      <c r="L79" s="40" t="str">
        <f>IFERROR(INDEX(Source_Filaire!$A$2:$M$104,Source_Filaire!$U64,COLUMNS(Source_Filaire!$R$2:AC64)),"")</f>
        <v>Serre-tête</v>
      </c>
      <c r="M79" s="40">
        <f>IFERROR(INDEX(Source_Filaire!$A$2:$M$104,Source_Filaire!$U64,COLUMNS(Source_Filaire!$R$2:AD64)),"")</f>
        <v>0</v>
      </c>
    </row>
    <row r="80" spans="1:13" x14ac:dyDescent="0.25">
      <c r="A80" s="8" t="str">
        <f>IFERROR(INDEX(Source_Filaire!$A$2:$M$104,Source_Filaire!$U65,COLUMNS(Source_Filaire!$R$2:R65)),"")</f>
        <v xml:space="preserve">PLANTRONICS </v>
      </c>
      <c r="B80" s="8" t="str">
        <f>IFERROR(INDEX(Source_Filaire!$A$2:$M$104,Source_Filaire!$U65,COLUMNS(Source_Filaire!$R$2:S65)),"")</f>
        <v>Blackwire C315-M</v>
      </c>
      <c r="C80" s="8" t="str">
        <f>IFERROR(INDEX(Source_Filaire!$A$2:$M$104,Source_Filaire!$U65,COLUMNS(Source_Filaire!$R$2:T65)),"")</f>
        <v>Filaire</v>
      </c>
      <c r="D80" s="8" t="str">
        <f>IFERROR(INDEX(Source_Filaire!$A$2:$M$104,Source_Filaire!$U65,COLUMNS(Source_Filaire!$R$2:U65)),"")</f>
        <v>200264-01</v>
      </c>
      <c r="E80" s="43">
        <f>IFERROR(INDEX(Source_Filaire!$A$2:$M$104,Source_Filaire!$U65,COLUMNS(Source_Filaire!$R$2:V65)),"")</f>
        <v>70</v>
      </c>
      <c r="F80" s="8" t="str">
        <f>IFERROR(INDEX(Source_Filaire!$A$2:$M$104,Source_Filaire!$U65,COLUMNS(Source_Filaire!$R$2:W65)),"")</f>
        <v>Mono</v>
      </c>
      <c r="G80" s="40">
        <f>IFERROR(INDEX(Source_Filaire!$A$2:$M$104,Source_Filaire!$U65,COLUMNS(Source_Filaire!$R$2:X65)),"")</f>
        <v>0</v>
      </c>
      <c r="H80" s="40" t="str">
        <f>IFERROR(INDEX(Source_Filaire!$A$2:$M$104,Source_Filaire!$U65,COLUMNS(Source_Filaire!$R$2:Y65)),"")</f>
        <v>USB/Jack 3,5</v>
      </c>
      <c r="I80" s="40" t="str">
        <f>IFERROR(INDEX(Source_Filaire!$A$2:$M$104,Source_Filaire!$U65,COLUMNS(Source_Filaire!$R$2:Z65)),"")</f>
        <v>PC</v>
      </c>
      <c r="J80" s="40" t="str">
        <f>IFERROR(INDEX(Source_Filaire!$A$2:$M$104,Source_Filaire!$U65,COLUMNS(Source_Filaire!$R$2:AA65)),"")</f>
        <v>2 ans</v>
      </c>
      <c r="K80" s="40" t="str">
        <f>IFERROR(INDEX(Source_Filaire!$A$2:$M$104,Source_Filaire!$U65,COLUMNS(Source_Filaire!$R$2:AB65)),"")</f>
        <v>Oui</v>
      </c>
      <c r="L80" s="40" t="str">
        <f>IFERROR(INDEX(Source_Filaire!$A$2:$M$104,Source_Filaire!$U65,COLUMNS(Source_Filaire!$R$2:AC65)),"")</f>
        <v>Serre-tête</v>
      </c>
      <c r="M80" s="40">
        <f>IFERROR(INDEX(Source_Filaire!$A$2:$M$104,Source_Filaire!$U65,COLUMNS(Source_Filaire!$R$2:AD65)),"")</f>
        <v>0</v>
      </c>
    </row>
    <row r="81" spans="1:13" x14ac:dyDescent="0.25">
      <c r="A81" s="8" t="str">
        <f>IFERROR(INDEX(Source_Filaire!$A$2:$M$104,Source_Filaire!$U66,COLUMNS(Source_Filaire!$R$2:R66)),"")</f>
        <v xml:space="preserve">PLANTRONICS </v>
      </c>
      <c r="B81" s="8" t="str">
        <f>IFERROR(INDEX(Source_Filaire!$A$2:$M$104,Source_Filaire!$U66,COLUMNS(Source_Filaire!$R$2:S66)),"")</f>
        <v>Blackwire C325</v>
      </c>
      <c r="C81" s="8" t="str">
        <f>IFERROR(INDEX(Source_Filaire!$A$2:$M$104,Source_Filaire!$U66,COLUMNS(Source_Filaire!$R$2:T66)),"")</f>
        <v>Filaire</v>
      </c>
      <c r="D81" s="8" t="str">
        <f>IFERROR(INDEX(Source_Filaire!$A$2:$M$104,Source_Filaire!$U66,COLUMNS(Source_Filaire!$R$2:U66)),"")</f>
        <v>204446-02</v>
      </c>
      <c r="E81" s="43">
        <f>IFERROR(INDEX(Source_Filaire!$A$2:$M$104,Source_Filaire!$U66,COLUMNS(Source_Filaire!$R$2:V66)),"")</f>
        <v>80</v>
      </c>
      <c r="F81" s="8" t="str">
        <f>IFERROR(INDEX(Source_Filaire!$A$2:$M$104,Source_Filaire!$U66,COLUMNS(Source_Filaire!$R$2:W66)),"")</f>
        <v>Bino</v>
      </c>
      <c r="G81" s="40">
        <f>IFERROR(INDEX(Source_Filaire!$A$2:$M$104,Source_Filaire!$U66,COLUMNS(Source_Filaire!$R$2:X66)),"")</f>
        <v>0</v>
      </c>
      <c r="H81" s="40" t="str">
        <f>IFERROR(INDEX(Source_Filaire!$A$2:$M$104,Source_Filaire!$U66,COLUMNS(Source_Filaire!$R$2:Y66)),"")</f>
        <v>USB/Jack 3,5</v>
      </c>
      <c r="I81" s="40" t="str">
        <f>IFERROR(INDEX(Source_Filaire!$A$2:$M$104,Source_Filaire!$U66,COLUMNS(Source_Filaire!$R$2:Z66)),"")</f>
        <v>PC</v>
      </c>
      <c r="J81" s="40" t="str">
        <f>IFERROR(INDEX(Source_Filaire!$A$2:$M$104,Source_Filaire!$U66,COLUMNS(Source_Filaire!$R$2:AA66)),"")</f>
        <v>2 ans</v>
      </c>
      <c r="K81" s="40" t="str">
        <f>IFERROR(INDEX(Source_Filaire!$A$2:$M$104,Source_Filaire!$U66,COLUMNS(Source_Filaire!$R$2:AB66)),"")</f>
        <v>Non</v>
      </c>
      <c r="L81" s="40" t="str">
        <f>IFERROR(INDEX(Source_Filaire!$A$2:$M$104,Source_Filaire!$U66,COLUMNS(Source_Filaire!$R$2:AC66)),"")</f>
        <v>Serre-tête</v>
      </c>
      <c r="M81" s="40">
        <f>IFERROR(INDEX(Source_Filaire!$A$2:$M$104,Source_Filaire!$U66,COLUMNS(Source_Filaire!$R$2:AD66)),"")</f>
        <v>0</v>
      </c>
    </row>
    <row r="82" spans="1:13" x14ac:dyDescent="0.25">
      <c r="A82" s="8" t="str">
        <f>IFERROR(INDEX(Source_Filaire!$A$2:$M$104,Source_Filaire!$U67,COLUMNS(Source_Filaire!$R$2:R67)),"")</f>
        <v xml:space="preserve">PLANTRONICS </v>
      </c>
      <c r="B82" s="8" t="str">
        <f>IFERROR(INDEX(Source_Filaire!$A$2:$M$104,Source_Filaire!$U67,COLUMNS(Source_Filaire!$R$2:S67)),"")</f>
        <v>Blackwire C325-M</v>
      </c>
      <c r="C82" s="8" t="str">
        <f>IFERROR(INDEX(Source_Filaire!$A$2:$M$104,Source_Filaire!$U67,COLUMNS(Source_Filaire!$R$2:T67)),"")</f>
        <v>Filaire</v>
      </c>
      <c r="D82" s="8" t="str">
        <f>IFERROR(INDEX(Source_Filaire!$A$2:$M$104,Source_Filaire!$U67,COLUMNS(Source_Filaire!$R$2:U67)),"")</f>
        <v>200263-01</v>
      </c>
      <c r="E82" s="43">
        <f>IFERROR(INDEX(Source_Filaire!$A$2:$M$104,Source_Filaire!$U67,COLUMNS(Source_Filaire!$R$2:V67)),"")</f>
        <v>80</v>
      </c>
      <c r="F82" s="8" t="str">
        <f>IFERROR(INDEX(Source_Filaire!$A$2:$M$104,Source_Filaire!$U67,COLUMNS(Source_Filaire!$R$2:W67)),"")</f>
        <v>Bino</v>
      </c>
      <c r="G82" s="40">
        <f>IFERROR(INDEX(Source_Filaire!$A$2:$M$104,Source_Filaire!$U67,COLUMNS(Source_Filaire!$R$2:X67)),"")</f>
        <v>0</v>
      </c>
      <c r="H82" s="40" t="str">
        <f>IFERROR(INDEX(Source_Filaire!$A$2:$M$104,Source_Filaire!$U67,COLUMNS(Source_Filaire!$R$2:Y67)),"")</f>
        <v>USB/Jack 3,5</v>
      </c>
      <c r="I82" s="40" t="str">
        <f>IFERROR(INDEX(Source_Filaire!$A$2:$M$104,Source_Filaire!$U67,COLUMNS(Source_Filaire!$R$2:Z67)),"")</f>
        <v>PC</v>
      </c>
      <c r="J82" s="40" t="str">
        <f>IFERROR(INDEX(Source_Filaire!$A$2:$M$104,Source_Filaire!$U67,COLUMNS(Source_Filaire!$R$2:AA67)),"")</f>
        <v>2 ans</v>
      </c>
      <c r="K82" s="40" t="str">
        <f>IFERROR(INDEX(Source_Filaire!$A$2:$M$104,Source_Filaire!$U67,COLUMNS(Source_Filaire!$R$2:AB67)),"")</f>
        <v>Oui</v>
      </c>
      <c r="L82" s="40" t="str">
        <f>IFERROR(INDEX(Source_Filaire!$A$2:$M$104,Source_Filaire!$U67,COLUMNS(Source_Filaire!$R$2:AC67)),"")</f>
        <v>Serre-tête</v>
      </c>
      <c r="M82" s="40">
        <f>IFERROR(INDEX(Source_Filaire!$A$2:$M$104,Source_Filaire!$U67,COLUMNS(Source_Filaire!$R$2:AD67)),"")</f>
        <v>0</v>
      </c>
    </row>
    <row r="83" spans="1:13" x14ac:dyDescent="0.25">
      <c r="A83" s="8" t="str">
        <f>IFERROR(INDEX(Source_Filaire!$A$2:$M$104,Source_Filaire!$U68,COLUMNS(Source_Filaire!$R$2:R68)),"")</f>
        <v xml:space="preserve">PLANTRONICS </v>
      </c>
      <c r="B83" s="8" t="str">
        <f>IFERROR(INDEX(Source_Filaire!$A$2:$M$104,Source_Filaire!$U68,COLUMNS(Source_Filaire!$R$2:S68)),"")</f>
        <v>Blackwire   C435</v>
      </c>
      <c r="C83" s="8" t="str">
        <f>IFERROR(INDEX(Source_Filaire!$A$2:$M$104,Source_Filaire!$U68,COLUMNS(Source_Filaire!$R$2:T68)),"")</f>
        <v>Filaire</v>
      </c>
      <c r="D83" s="8" t="str">
        <f>IFERROR(INDEX(Source_Filaire!$A$2:$M$104,Source_Filaire!$U68,COLUMNS(Source_Filaire!$R$2:U68)),"")</f>
        <v>85800-05</v>
      </c>
      <c r="E83" s="43">
        <f>IFERROR(INDEX(Source_Filaire!$A$2:$M$104,Source_Filaire!$U68,COLUMNS(Source_Filaire!$R$2:V68)),"")</f>
        <v>69.989999999999995</v>
      </c>
      <c r="F83" s="8" t="str">
        <f>IFERROR(INDEX(Source_Filaire!$A$2:$M$104,Source_Filaire!$U68,COLUMNS(Source_Filaire!$R$2:W68)),"")</f>
        <v>Mono/Bino</v>
      </c>
      <c r="G83" s="40">
        <f>IFERROR(INDEX(Source_Filaire!$A$2:$M$104,Source_Filaire!$U68,COLUMNS(Source_Filaire!$R$2:X68)),"")</f>
        <v>0</v>
      </c>
      <c r="H83" s="40" t="str">
        <f>IFERROR(INDEX(Source_Filaire!$A$2:$M$104,Source_Filaire!$U68,COLUMNS(Source_Filaire!$R$2:Y68)),"")</f>
        <v>USB</v>
      </c>
      <c r="I83" s="40" t="str">
        <f>IFERROR(INDEX(Source_Filaire!$A$2:$M$104,Source_Filaire!$U68,COLUMNS(Source_Filaire!$R$2:Z68)),"")</f>
        <v>PC</v>
      </c>
      <c r="J83" s="40" t="str">
        <f>IFERROR(INDEX(Source_Filaire!$A$2:$M$104,Source_Filaire!$U68,COLUMNS(Source_Filaire!$R$2:AA68)),"")</f>
        <v>2 ans</v>
      </c>
      <c r="K83" s="40" t="str">
        <f>IFERROR(INDEX(Source_Filaire!$A$2:$M$104,Source_Filaire!$U68,COLUMNS(Source_Filaire!$R$2:AB68)),"")</f>
        <v>Non</v>
      </c>
      <c r="L83" s="40" t="str">
        <f>IFERROR(INDEX(Source_Filaire!$A$2:$M$104,Source_Filaire!$U68,COLUMNS(Source_Filaire!$R$2:AC68)),"")</f>
        <v>Contour de nuque/Contour d'oreille</v>
      </c>
      <c r="M83" s="40">
        <f>IFERROR(INDEX(Source_Filaire!$A$2:$M$104,Source_Filaire!$U68,COLUMNS(Source_Filaire!$R$2:AD68)),"")</f>
        <v>0</v>
      </c>
    </row>
    <row r="84" spans="1:13" x14ac:dyDescent="0.25">
      <c r="A84" s="8" t="str">
        <f>IFERROR(INDEX(Source_Filaire!$A$2:$M$104,Source_Filaire!$U69,COLUMNS(Source_Filaire!$R$2:R69)),"")</f>
        <v xml:space="preserve">PLANTRONICS </v>
      </c>
      <c r="B84" s="8" t="str">
        <f>IFERROR(INDEX(Source_Filaire!$A$2:$M$104,Source_Filaire!$U69,COLUMNS(Source_Filaire!$R$2:S69)),"")</f>
        <v>Blackwire   C435-M</v>
      </c>
      <c r="C84" s="8" t="str">
        <f>IFERROR(INDEX(Source_Filaire!$A$2:$M$104,Source_Filaire!$U69,COLUMNS(Source_Filaire!$R$2:T69)),"")</f>
        <v>Filaire</v>
      </c>
      <c r="D84" s="8" t="str">
        <f>IFERROR(INDEX(Source_Filaire!$A$2:$M$104,Source_Filaire!$U69,COLUMNS(Source_Filaire!$R$2:U69)),"")</f>
        <v>85801-05</v>
      </c>
      <c r="E84" s="43">
        <f>IFERROR(INDEX(Source_Filaire!$A$2:$M$104,Source_Filaire!$U69,COLUMNS(Source_Filaire!$R$2:V69)),"")</f>
        <v>69.989999999999995</v>
      </c>
      <c r="F84" s="8" t="str">
        <f>IFERROR(INDEX(Source_Filaire!$A$2:$M$104,Source_Filaire!$U69,COLUMNS(Source_Filaire!$R$2:W69)),"")</f>
        <v>Mono/Bino</v>
      </c>
      <c r="G84" s="40">
        <f>IFERROR(INDEX(Source_Filaire!$A$2:$M$104,Source_Filaire!$U69,COLUMNS(Source_Filaire!$R$2:X69)),"")</f>
        <v>0</v>
      </c>
      <c r="H84" s="40" t="str">
        <f>IFERROR(INDEX(Source_Filaire!$A$2:$M$104,Source_Filaire!$U69,COLUMNS(Source_Filaire!$R$2:Y69)),"")</f>
        <v>USB</v>
      </c>
      <c r="I84" s="40" t="str">
        <f>IFERROR(INDEX(Source_Filaire!$A$2:$M$104,Source_Filaire!$U69,COLUMNS(Source_Filaire!$R$2:Z69)),"")</f>
        <v>PC</v>
      </c>
      <c r="J84" s="40" t="str">
        <f>IFERROR(INDEX(Source_Filaire!$A$2:$M$104,Source_Filaire!$U69,COLUMNS(Source_Filaire!$R$2:AA69)),"")</f>
        <v>2 ans</v>
      </c>
      <c r="K84" s="40" t="str">
        <f>IFERROR(INDEX(Source_Filaire!$A$2:$M$104,Source_Filaire!$U69,COLUMNS(Source_Filaire!$R$2:AB69)),"")</f>
        <v>Oui</v>
      </c>
      <c r="L84" s="40" t="str">
        <f>IFERROR(INDEX(Source_Filaire!$A$2:$M$104,Source_Filaire!$U69,COLUMNS(Source_Filaire!$R$2:AC69)),"")</f>
        <v>Contour de nuque/Contour d'oreille</v>
      </c>
      <c r="M84" s="40">
        <f>IFERROR(INDEX(Source_Filaire!$A$2:$M$104,Source_Filaire!$U69,COLUMNS(Source_Filaire!$R$2:AD69)),"")</f>
        <v>0</v>
      </c>
    </row>
    <row r="85" spans="1:13" x14ac:dyDescent="0.25">
      <c r="A85" s="8" t="str">
        <f>IFERROR(INDEX(Source_Filaire!$A$2:$M$104,Source_Filaire!$U70,COLUMNS(Source_Filaire!$R$2:R70)),"")</f>
        <v xml:space="preserve">PLANTRONICS </v>
      </c>
      <c r="B85" s="8" t="str">
        <f>IFERROR(INDEX(Source_Filaire!$A$2:$M$104,Source_Filaire!$U70,COLUMNS(Source_Filaire!$R$2:S70)),"")</f>
        <v>Blackwire C510</v>
      </c>
      <c r="C85" s="8" t="str">
        <f>IFERROR(INDEX(Source_Filaire!$A$2:$M$104,Source_Filaire!$U70,COLUMNS(Source_Filaire!$R$2:T70)),"")</f>
        <v>Filaire</v>
      </c>
      <c r="D85" s="8" t="str">
        <f>IFERROR(INDEX(Source_Filaire!$A$2:$M$104,Source_Filaire!$U70,COLUMNS(Source_Filaire!$R$2:U70)),"")</f>
        <v>88860-01</v>
      </c>
      <c r="E85" s="43">
        <f>IFERROR(INDEX(Source_Filaire!$A$2:$M$104,Source_Filaire!$U70,COLUMNS(Source_Filaire!$R$2:V70)),"")</f>
        <v>89.99</v>
      </c>
      <c r="F85" s="8" t="str">
        <f>IFERROR(INDEX(Source_Filaire!$A$2:$M$104,Source_Filaire!$U70,COLUMNS(Source_Filaire!$R$2:W70)),"")</f>
        <v>Mono</v>
      </c>
      <c r="G85" s="40">
        <f>IFERROR(INDEX(Source_Filaire!$A$2:$M$104,Source_Filaire!$U70,COLUMNS(Source_Filaire!$R$2:X70)),"")</f>
        <v>0</v>
      </c>
      <c r="H85" s="40" t="str">
        <f>IFERROR(INDEX(Source_Filaire!$A$2:$M$104,Source_Filaire!$U70,COLUMNS(Source_Filaire!$R$2:Y70)),"")</f>
        <v>USB</v>
      </c>
      <c r="I85" s="40" t="str">
        <f>IFERROR(INDEX(Source_Filaire!$A$2:$M$104,Source_Filaire!$U70,COLUMNS(Source_Filaire!$R$2:Z70)),"")</f>
        <v>PC</v>
      </c>
      <c r="J85" s="40" t="str">
        <f>IFERROR(INDEX(Source_Filaire!$A$2:$M$104,Source_Filaire!$U70,COLUMNS(Source_Filaire!$R$2:AA70)),"")</f>
        <v>2 ans</v>
      </c>
      <c r="K85" s="40" t="str">
        <f>IFERROR(INDEX(Source_Filaire!$A$2:$M$104,Source_Filaire!$U70,COLUMNS(Source_Filaire!$R$2:AB70)),"")</f>
        <v>Non</v>
      </c>
      <c r="L85" s="40" t="str">
        <f>IFERROR(INDEX(Source_Filaire!$A$2:$M$104,Source_Filaire!$U70,COLUMNS(Source_Filaire!$R$2:AC70)),"")</f>
        <v>Serre-tête</v>
      </c>
      <c r="M85" s="40">
        <f>IFERROR(INDEX(Source_Filaire!$A$2:$M$104,Source_Filaire!$U70,COLUMNS(Source_Filaire!$R$2:AD70)),"")</f>
        <v>0</v>
      </c>
    </row>
    <row r="86" spans="1:13" x14ac:dyDescent="0.25">
      <c r="A86" s="8" t="str">
        <f>IFERROR(INDEX(Source_Filaire!$A$2:$M$104,Source_Filaire!$U71,COLUMNS(Source_Filaire!$R$2:R71)),"")</f>
        <v xml:space="preserve">PLANTRONICS </v>
      </c>
      <c r="B86" s="8" t="str">
        <f>IFERROR(INDEX(Source_Filaire!$A$2:$M$104,Source_Filaire!$U71,COLUMNS(Source_Filaire!$R$2:S71)),"")</f>
        <v>Blackwire C510-M</v>
      </c>
      <c r="C86" s="8" t="str">
        <f>IFERROR(INDEX(Source_Filaire!$A$2:$M$104,Source_Filaire!$U71,COLUMNS(Source_Filaire!$R$2:T71)),"")</f>
        <v>Filaire</v>
      </c>
      <c r="D86" s="8" t="str">
        <f>IFERROR(INDEX(Source_Filaire!$A$2:$M$104,Source_Filaire!$U71,COLUMNS(Source_Filaire!$R$2:U71)),"")</f>
        <v>88860-02</v>
      </c>
      <c r="E86" s="43">
        <f>IFERROR(INDEX(Source_Filaire!$A$2:$M$104,Source_Filaire!$U71,COLUMNS(Source_Filaire!$R$2:V71)),"")</f>
        <v>89.99</v>
      </c>
      <c r="F86" s="8" t="str">
        <f>IFERROR(INDEX(Source_Filaire!$A$2:$M$104,Source_Filaire!$U71,COLUMNS(Source_Filaire!$R$2:W71)),"")</f>
        <v>Mono</v>
      </c>
      <c r="G86" s="40">
        <f>IFERROR(INDEX(Source_Filaire!$A$2:$M$104,Source_Filaire!$U71,COLUMNS(Source_Filaire!$R$2:X71)),"")</f>
        <v>0</v>
      </c>
      <c r="H86" s="40" t="str">
        <f>IFERROR(INDEX(Source_Filaire!$A$2:$M$104,Source_Filaire!$U71,COLUMNS(Source_Filaire!$R$2:Y71)),"")</f>
        <v>USB</v>
      </c>
      <c r="I86" s="40" t="str">
        <f>IFERROR(INDEX(Source_Filaire!$A$2:$M$104,Source_Filaire!$U71,COLUMNS(Source_Filaire!$R$2:Z71)),"")</f>
        <v>PC</v>
      </c>
      <c r="J86" s="40" t="str">
        <f>IFERROR(INDEX(Source_Filaire!$A$2:$M$104,Source_Filaire!$U71,COLUMNS(Source_Filaire!$R$2:AA71)),"")</f>
        <v>2 ans</v>
      </c>
      <c r="K86" s="40" t="str">
        <f>IFERROR(INDEX(Source_Filaire!$A$2:$M$104,Source_Filaire!$U71,COLUMNS(Source_Filaire!$R$2:AB71)),"")</f>
        <v>Oui</v>
      </c>
      <c r="L86" s="40" t="str">
        <f>IFERROR(INDEX(Source_Filaire!$A$2:$M$104,Source_Filaire!$U71,COLUMNS(Source_Filaire!$R$2:AC71)),"")</f>
        <v>Serre-tête</v>
      </c>
      <c r="M86" s="40">
        <f>IFERROR(INDEX(Source_Filaire!$A$2:$M$104,Source_Filaire!$U71,COLUMNS(Source_Filaire!$R$2:AD71)),"")</f>
        <v>0</v>
      </c>
    </row>
    <row r="87" spans="1:13" x14ac:dyDescent="0.25">
      <c r="A87" s="8" t="str">
        <f>IFERROR(INDEX(Source_Filaire!$A$2:$M$104,Source_Filaire!$U72,COLUMNS(Source_Filaire!$R$2:R72)),"")</f>
        <v xml:space="preserve">PLANTRONICS </v>
      </c>
      <c r="B87" s="8" t="str">
        <f>IFERROR(INDEX(Source_Filaire!$A$2:$M$104,Source_Filaire!$U72,COLUMNS(Source_Filaire!$R$2:S72)),"")</f>
        <v>Blackwire C520</v>
      </c>
      <c r="C87" s="8" t="str">
        <f>IFERROR(INDEX(Source_Filaire!$A$2:$M$104,Source_Filaire!$U72,COLUMNS(Source_Filaire!$R$2:T72)),"")</f>
        <v>Filaire</v>
      </c>
      <c r="D87" s="8" t="str">
        <f>IFERROR(INDEX(Source_Filaire!$A$2:$M$104,Source_Filaire!$U72,COLUMNS(Source_Filaire!$R$2:U72)),"")</f>
        <v>88861-01</v>
      </c>
      <c r="E87" s="43">
        <f>IFERROR(INDEX(Source_Filaire!$A$2:$M$104,Source_Filaire!$U72,COLUMNS(Source_Filaire!$R$2:V72)),"")</f>
        <v>99.99</v>
      </c>
      <c r="F87" s="8" t="str">
        <f>IFERROR(INDEX(Source_Filaire!$A$2:$M$104,Source_Filaire!$U72,COLUMNS(Source_Filaire!$R$2:W72)),"")</f>
        <v>Bino</v>
      </c>
      <c r="G87" s="40">
        <f>IFERROR(INDEX(Source_Filaire!$A$2:$M$104,Source_Filaire!$U72,COLUMNS(Source_Filaire!$R$2:X72)),"")</f>
        <v>0</v>
      </c>
      <c r="H87" s="40" t="str">
        <f>IFERROR(INDEX(Source_Filaire!$A$2:$M$104,Source_Filaire!$U72,COLUMNS(Source_Filaire!$R$2:Y72)),"")</f>
        <v>USB</v>
      </c>
      <c r="I87" s="40" t="str">
        <f>IFERROR(INDEX(Source_Filaire!$A$2:$M$104,Source_Filaire!$U72,COLUMNS(Source_Filaire!$R$2:Z72)),"")</f>
        <v>PC</v>
      </c>
      <c r="J87" s="40" t="str">
        <f>IFERROR(INDEX(Source_Filaire!$A$2:$M$104,Source_Filaire!$U72,COLUMNS(Source_Filaire!$R$2:AA72)),"")</f>
        <v>2 ans</v>
      </c>
      <c r="K87" s="40" t="str">
        <f>IFERROR(INDEX(Source_Filaire!$A$2:$M$104,Source_Filaire!$U72,COLUMNS(Source_Filaire!$R$2:AB72)),"")</f>
        <v>Non</v>
      </c>
      <c r="L87" s="40" t="str">
        <f>IFERROR(INDEX(Source_Filaire!$A$2:$M$104,Source_Filaire!$U72,COLUMNS(Source_Filaire!$R$2:AC72)),"")</f>
        <v>Serre-tête</v>
      </c>
      <c r="M87" s="40">
        <f>IFERROR(INDEX(Source_Filaire!$A$2:$M$104,Source_Filaire!$U72,COLUMNS(Source_Filaire!$R$2:AD72)),"")</f>
        <v>0</v>
      </c>
    </row>
    <row r="88" spans="1:13" x14ac:dyDescent="0.25">
      <c r="A88" s="8" t="str">
        <f>IFERROR(INDEX(Source_Filaire!$A$2:$M$104,Source_Filaire!$U73,COLUMNS(Source_Filaire!$R$2:R73)),"")</f>
        <v xml:space="preserve">PLANTRONICS </v>
      </c>
      <c r="B88" s="8" t="str">
        <f>IFERROR(INDEX(Source_Filaire!$A$2:$M$104,Source_Filaire!$U73,COLUMNS(Source_Filaire!$R$2:S73)),"")</f>
        <v>Blackwire C520-M</v>
      </c>
      <c r="C88" s="8" t="str">
        <f>IFERROR(INDEX(Source_Filaire!$A$2:$M$104,Source_Filaire!$U73,COLUMNS(Source_Filaire!$R$2:T73)),"")</f>
        <v>Filaire</v>
      </c>
      <c r="D88" s="8" t="str">
        <f>IFERROR(INDEX(Source_Filaire!$A$2:$M$104,Source_Filaire!$U73,COLUMNS(Source_Filaire!$R$2:U73)),"")</f>
        <v>88861-02</v>
      </c>
      <c r="E88" s="43">
        <f>IFERROR(INDEX(Source_Filaire!$A$2:$M$104,Source_Filaire!$U73,COLUMNS(Source_Filaire!$R$2:V73)),"")</f>
        <v>99.99</v>
      </c>
      <c r="F88" s="8" t="str">
        <f>IFERROR(INDEX(Source_Filaire!$A$2:$M$104,Source_Filaire!$U73,COLUMNS(Source_Filaire!$R$2:W73)),"")</f>
        <v>Bino</v>
      </c>
      <c r="G88" s="40">
        <f>IFERROR(INDEX(Source_Filaire!$A$2:$M$104,Source_Filaire!$U73,COLUMNS(Source_Filaire!$R$2:X73)),"")</f>
        <v>0</v>
      </c>
      <c r="H88" s="40" t="str">
        <f>IFERROR(INDEX(Source_Filaire!$A$2:$M$104,Source_Filaire!$U73,COLUMNS(Source_Filaire!$R$2:Y73)),"")</f>
        <v>USB</v>
      </c>
      <c r="I88" s="40" t="str">
        <f>IFERROR(INDEX(Source_Filaire!$A$2:$M$104,Source_Filaire!$U73,COLUMNS(Source_Filaire!$R$2:Z73)),"")</f>
        <v>PC</v>
      </c>
      <c r="J88" s="40" t="str">
        <f>IFERROR(INDEX(Source_Filaire!$A$2:$M$104,Source_Filaire!$U73,COLUMNS(Source_Filaire!$R$2:AA73)),"")</f>
        <v>2 ans</v>
      </c>
      <c r="K88" s="40" t="str">
        <f>IFERROR(INDEX(Source_Filaire!$A$2:$M$104,Source_Filaire!$U73,COLUMNS(Source_Filaire!$R$2:AB73)),"")</f>
        <v>Oui</v>
      </c>
      <c r="L88" s="40" t="str">
        <f>IFERROR(INDEX(Source_Filaire!$A$2:$M$104,Source_Filaire!$U73,COLUMNS(Source_Filaire!$R$2:AC73)),"")</f>
        <v>Serre-tête</v>
      </c>
      <c r="M88" s="40">
        <f>IFERROR(INDEX(Source_Filaire!$A$2:$M$104,Source_Filaire!$U73,COLUMNS(Source_Filaire!$R$2:AD73)),"")</f>
        <v>0</v>
      </c>
    </row>
    <row r="89" spans="1:13" x14ac:dyDescent="0.25">
      <c r="A89" s="8" t="str">
        <f>IFERROR(INDEX(Source_Filaire!$A$2:$M$104,Source_Filaire!$U74,COLUMNS(Source_Filaire!$R$2:R74)),"")</f>
        <v xml:space="preserve">PLANTRONICS </v>
      </c>
      <c r="B89" s="8" t="str">
        <f>IFERROR(INDEX(Source_Filaire!$A$2:$M$104,Source_Filaire!$U74,COLUMNS(Source_Filaire!$R$2:S74)),"")</f>
        <v>Blackwire C710</v>
      </c>
      <c r="C89" s="8" t="str">
        <f>IFERROR(INDEX(Source_Filaire!$A$2:$M$104,Source_Filaire!$U74,COLUMNS(Source_Filaire!$R$2:T74)),"")</f>
        <v>Filaire</v>
      </c>
      <c r="D89" s="8" t="str">
        <f>IFERROR(INDEX(Source_Filaire!$A$2:$M$104,Source_Filaire!$U74,COLUMNS(Source_Filaire!$R$2:U74)),"")</f>
        <v>87505-02</v>
      </c>
      <c r="E89" s="43">
        <f>IFERROR(INDEX(Source_Filaire!$A$2:$M$104,Source_Filaire!$U74,COLUMNS(Source_Filaire!$R$2:V74)),"")</f>
        <v>139</v>
      </c>
      <c r="F89" s="8" t="str">
        <f>IFERROR(INDEX(Source_Filaire!$A$2:$M$104,Source_Filaire!$U74,COLUMNS(Source_Filaire!$R$2:W74)),"")</f>
        <v>Mono</v>
      </c>
      <c r="G89" s="40">
        <f>IFERROR(INDEX(Source_Filaire!$A$2:$M$104,Source_Filaire!$U74,COLUMNS(Source_Filaire!$R$2:X74)),"")</f>
        <v>0</v>
      </c>
      <c r="H89" s="40" t="str">
        <f>IFERROR(INDEX(Source_Filaire!$A$2:$M$104,Source_Filaire!$U74,COLUMNS(Source_Filaire!$R$2:Y74)),"")</f>
        <v>USB/Bluetooth</v>
      </c>
      <c r="I89" s="40" t="str">
        <f>IFERROR(INDEX(Source_Filaire!$A$2:$M$104,Source_Filaire!$U74,COLUMNS(Source_Filaire!$R$2:Z74)),"")</f>
        <v>PC</v>
      </c>
      <c r="J89" s="40" t="str">
        <f>IFERROR(INDEX(Source_Filaire!$A$2:$M$104,Source_Filaire!$U74,COLUMNS(Source_Filaire!$R$2:AA74)),"")</f>
        <v>2 ans</v>
      </c>
      <c r="K89" s="40" t="str">
        <f>IFERROR(INDEX(Source_Filaire!$A$2:$M$104,Source_Filaire!$U74,COLUMNS(Source_Filaire!$R$2:AB74)),"")</f>
        <v>Non</v>
      </c>
      <c r="L89" s="40" t="str">
        <f>IFERROR(INDEX(Source_Filaire!$A$2:$M$104,Source_Filaire!$U74,COLUMNS(Source_Filaire!$R$2:AC74)),"")</f>
        <v>Serre-tête</v>
      </c>
      <c r="M89" s="40">
        <f>IFERROR(INDEX(Source_Filaire!$A$2:$M$104,Source_Filaire!$U74,COLUMNS(Source_Filaire!$R$2:AD74)),"")</f>
        <v>0</v>
      </c>
    </row>
    <row r="90" spans="1:13" x14ac:dyDescent="0.25">
      <c r="A90" s="8" t="str">
        <f>IFERROR(INDEX(Source_Filaire!$A$2:$M$104,Source_Filaire!$U75,COLUMNS(Source_Filaire!$R$2:R75)),"")</f>
        <v xml:space="preserve">PLANTRONICS </v>
      </c>
      <c r="B90" s="8" t="str">
        <f>IFERROR(INDEX(Source_Filaire!$A$2:$M$104,Source_Filaire!$U75,COLUMNS(Source_Filaire!$R$2:S75)),"")</f>
        <v>Blackwire C710-M</v>
      </c>
      <c r="C90" s="8" t="str">
        <f>IFERROR(INDEX(Source_Filaire!$A$2:$M$104,Source_Filaire!$U75,COLUMNS(Source_Filaire!$R$2:T75)),"")</f>
        <v>Filaire</v>
      </c>
      <c r="D90" s="8" t="str">
        <f>IFERROR(INDEX(Source_Filaire!$A$2:$M$104,Source_Filaire!$U75,COLUMNS(Source_Filaire!$R$2:U75)),"")</f>
        <v>87505-01</v>
      </c>
      <c r="E90" s="43">
        <f>IFERROR(INDEX(Source_Filaire!$A$2:$M$104,Source_Filaire!$U75,COLUMNS(Source_Filaire!$R$2:V75)),"")</f>
        <v>139</v>
      </c>
      <c r="F90" s="8" t="str">
        <f>IFERROR(INDEX(Source_Filaire!$A$2:$M$104,Source_Filaire!$U75,COLUMNS(Source_Filaire!$R$2:W75)),"")</f>
        <v>Mono</v>
      </c>
      <c r="G90" s="40">
        <f>IFERROR(INDEX(Source_Filaire!$A$2:$M$104,Source_Filaire!$U75,COLUMNS(Source_Filaire!$R$2:X75)),"")</f>
        <v>0</v>
      </c>
      <c r="H90" s="40" t="str">
        <f>IFERROR(INDEX(Source_Filaire!$A$2:$M$104,Source_Filaire!$U75,COLUMNS(Source_Filaire!$R$2:Y75)),"")</f>
        <v>USB/Bluetooth</v>
      </c>
      <c r="I90" s="40" t="str">
        <f>IFERROR(INDEX(Source_Filaire!$A$2:$M$104,Source_Filaire!$U75,COLUMNS(Source_Filaire!$R$2:Z75)),"")</f>
        <v>PC</v>
      </c>
      <c r="J90" s="40" t="str">
        <f>IFERROR(INDEX(Source_Filaire!$A$2:$M$104,Source_Filaire!$U75,COLUMNS(Source_Filaire!$R$2:AA75)),"")</f>
        <v>2 ans</v>
      </c>
      <c r="K90" s="40" t="str">
        <f>IFERROR(INDEX(Source_Filaire!$A$2:$M$104,Source_Filaire!$U75,COLUMNS(Source_Filaire!$R$2:AB75)),"")</f>
        <v>Oui</v>
      </c>
      <c r="L90" s="40" t="str">
        <f>IFERROR(INDEX(Source_Filaire!$A$2:$M$104,Source_Filaire!$U75,COLUMNS(Source_Filaire!$R$2:AC75)),"")</f>
        <v>Serre-tête</v>
      </c>
      <c r="M90" s="40">
        <f>IFERROR(INDEX(Source_Filaire!$A$2:$M$104,Source_Filaire!$U75,COLUMNS(Source_Filaire!$R$2:AD75)),"")</f>
        <v>0</v>
      </c>
    </row>
    <row r="91" spans="1:13" x14ac:dyDescent="0.25">
      <c r="A91" s="8" t="str">
        <f>IFERROR(INDEX(Source_Filaire!$A$2:$M$104,Source_Filaire!$U76,COLUMNS(Source_Filaire!$R$2:R76)),"")</f>
        <v xml:space="preserve">PLANTRONICS </v>
      </c>
      <c r="B91" s="8" t="str">
        <f>IFERROR(INDEX(Source_Filaire!$A$2:$M$104,Source_Filaire!$U76,COLUMNS(Source_Filaire!$R$2:S76)),"")</f>
        <v>Blackwire C720</v>
      </c>
      <c r="C91" s="8" t="str">
        <f>IFERROR(INDEX(Source_Filaire!$A$2:$M$104,Source_Filaire!$U76,COLUMNS(Source_Filaire!$R$2:T76)),"")</f>
        <v>Filaire</v>
      </c>
      <c r="D91" s="8" t="str">
        <f>IFERROR(INDEX(Source_Filaire!$A$2:$M$104,Source_Filaire!$U76,COLUMNS(Source_Filaire!$R$2:U76)),"")</f>
        <v>87506-12</v>
      </c>
      <c r="E91" s="43">
        <f>IFERROR(INDEX(Source_Filaire!$A$2:$M$104,Source_Filaire!$U76,COLUMNS(Source_Filaire!$R$2:V76)),"")</f>
        <v>149</v>
      </c>
      <c r="F91" s="8" t="str">
        <f>IFERROR(INDEX(Source_Filaire!$A$2:$M$104,Source_Filaire!$U76,COLUMNS(Source_Filaire!$R$2:W76)),"")</f>
        <v>Bino</v>
      </c>
      <c r="G91" s="40">
        <f>IFERROR(INDEX(Source_Filaire!$A$2:$M$104,Source_Filaire!$U76,COLUMNS(Source_Filaire!$R$2:X76)),"")</f>
        <v>0</v>
      </c>
      <c r="H91" s="40" t="str">
        <f>IFERROR(INDEX(Source_Filaire!$A$2:$M$104,Source_Filaire!$U76,COLUMNS(Source_Filaire!$R$2:Y76)),"")</f>
        <v>USB/Bluetooth</v>
      </c>
      <c r="I91" s="40" t="str">
        <f>IFERROR(INDEX(Source_Filaire!$A$2:$M$104,Source_Filaire!$U76,COLUMNS(Source_Filaire!$R$2:Z76)),"")</f>
        <v>PC</v>
      </c>
      <c r="J91" s="40" t="str">
        <f>IFERROR(INDEX(Source_Filaire!$A$2:$M$104,Source_Filaire!$U76,COLUMNS(Source_Filaire!$R$2:AA76)),"")</f>
        <v>2 ans</v>
      </c>
      <c r="K91" s="40" t="str">
        <f>IFERROR(INDEX(Source_Filaire!$A$2:$M$104,Source_Filaire!$U76,COLUMNS(Source_Filaire!$R$2:AB76)),"")</f>
        <v>Non</v>
      </c>
      <c r="L91" s="40" t="str">
        <f>IFERROR(INDEX(Source_Filaire!$A$2:$M$104,Source_Filaire!$U76,COLUMNS(Source_Filaire!$R$2:AC76)),"")</f>
        <v>Serre-tête</v>
      </c>
      <c r="M91" s="40">
        <f>IFERROR(INDEX(Source_Filaire!$A$2:$M$104,Source_Filaire!$U76,COLUMNS(Source_Filaire!$R$2:AD76)),"")</f>
        <v>0</v>
      </c>
    </row>
    <row r="92" spans="1:13" x14ac:dyDescent="0.25">
      <c r="A92" s="8" t="str">
        <f>IFERROR(INDEX(Source_Filaire!$A$2:$M$104,Source_Filaire!$U77,COLUMNS(Source_Filaire!$R$2:R77)),"")</f>
        <v xml:space="preserve">PLANTRONICS </v>
      </c>
      <c r="B92" s="8" t="str">
        <f>IFERROR(INDEX(Source_Filaire!$A$2:$M$104,Source_Filaire!$U77,COLUMNS(Source_Filaire!$R$2:S77)),"")</f>
        <v>Blackwire C720-M</v>
      </c>
      <c r="C92" s="8" t="str">
        <f>IFERROR(INDEX(Source_Filaire!$A$2:$M$104,Source_Filaire!$U77,COLUMNS(Source_Filaire!$R$2:T77)),"")</f>
        <v>Filaire</v>
      </c>
      <c r="D92" s="8" t="str">
        <f>IFERROR(INDEX(Source_Filaire!$A$2:$M$104,Source_Filaire!$U77,COLUMNS(Source_Filaire!$R$2:U77)),"")</f>
        <v>87506-01</v>
      </c>
      <c r="E92" s="43">
        <f>IFERROR(INDEX(Source_Filaire!$A$2:$M$104,Source_Filaire!$U77,COLUMNS(Source_Filaire!$R$2:V77)),"")</f>
        <v>149</v>
      </c>
      <c r="F92" s="8" t="str">
        <f>IFERROR(INDEX(Source_Filaire!$A$2:$M$104,Source_Filaire!$U77,COLUMNS(Source_Filaire!$R$2:W77)),"")</f>
        <v>Bino</v>
      </c>
      <c r="G92" s="40">
        <f>IFERROR(INDEX(Source_Filaire!$A$2:$M$104,Source_Filaire!$U77,COLUMNS(Source_Filaire!$R$2:X77)),"")</f>
        <v>0</v>
      </c>
      <c r="H92" s="40" t="str">
        <f>IFERROR(INDEX(Source_Filaire!$A$2:$M$104,Source_Filaire!$U77,COLUMNS(Source_Filaire!$R$2:Y77)),"")</f>
        <v>USB/Bluetooth</v>
      </c>
      <c r="I92" s="40" t="str">
        <f>IFERROR(INDEX(Source_Filaire!$A$2:$M$104,Source_Filaire!$U77,COLUMNS(Source_Filaire!$R$2:Z77)),"")</f>
        <v>PC</v>
      </c>
      <c r="J92" s="40" t="str">
        <f>IFERROR(INDEX(Source_Filaire!$A$2:$M$104,Source_Filaire!$U77,COLUMNS(Source_Filaire!$R$2:AA77)),"")</f>
        <v>2 ans</v>
      </c>
      <c r="K92" s="40" t="str">
        <f>IFERROR(INDEX(Source_Filaire!$A$2:$M$104,Source_Filaire!$U77,COLUMNS(Source_Filaire!$R$2:AB77)),"")</f>
        <v>Oui</v>
      </c>
      <c r="L92" s="40" t="str">
        <f>IFERROR(INDEX(Source_Filaire!$A$2:$M$104,Source_Filaire!$U77,COLUMNS(Source_Filaire!$R$2:AC77)),"")</f>
        <v>Serre-tête</v>
      </c>
      <c r="M92" s="40">
        <f>IFERROR(INDEX(Source_Filaire!$A$2:$M$104,Source_Filaire!$U77,COLUMNS(Source_Filaire!$R$2:AD77)),"")</f>
        <v>0</v>
      </c>
    </row>
    <row r="93" spans="1:13" x14ac:dyDescent="0.25">
      <c r="A93" s="8" t="str">
        <f>IFERROR(INDEX(Source_Filaire!$A$2:$M$104,Source_Filaire!$U78,COLUMNS(Source_Filaire!$R$2:R78)),"")</f>
        <v xml:space="preserve">PLANTRONICS </v>
      </c>
      <c r="B93" s="8" t="str">
        <f>IFERROR(INDEX(Source_Filaire!$A$2:$M$104,Source_Filaire!$U78,COLUMNS(Source_Filaire!$R$2:S78)),"")</f>
        <v>Blackwire C725</v>
      </c>
      <c r="C93" s="8" t="str">
        <f>IFERROR(INDEX(Source_Filaire!$A$2:$M$104,Source_Filaire!$U78,COLUMNS(Source_Filaire!$R$2:T78)),"")</f>
        <v>Filaire</v>
      </c>
      <c r="D93" s="8" t="str">
        <f>IFERROR(INDEX(Source_Filaire!$A$2:$M$104,Source_Filaire!$U78,COLUMNS(Source_Filaire!$R$2:U78)),"")</f>
        <v>202580-01</v>
      </c>
      <c r="E93" s="43">
        <f>IFERROR(INDEX(Source_Filaire!$A$2:$M$104,Source_Filaire!$U78,COLUMNS(Source_Filaire!$R$2:V78)),"")</f>
        <v>179</v>
      </c>
      <c r="F93" s="8" t="str">
        <f>IFERROR(INDEX(Source_Filaire!$A$2:$M$104,Source_Filaire!$U78,COLUMNS(Source_Filaire!$R$2:W78)),"")</f>
        <v>Bino</v>
      </c>
      <c r="G93" s="40">
        <f>IFERROR(INDEX(Source_Filaire!$A$2:$M$104,Source_Filaire!$U78,COLUMNS(Source_Filaire!$R$2:X78)),"")</f>
        <v>0</v>
      </c>
      <c r="H93" s="40" t="str">
        <f>IFERROR(INDEX(Source_Filaire!$A$2:$M$104,Source_Filaire!$U78,COLUMNS(Source_Filaire!$R$2:Y78)),"")</f>
        <v>USB</v>
      </c>
      <c r="I93" s="40" t="str">
        <f>IFERROR(INDEX(Source_Filaire!$A$2:$M$104,Source_Filaire!$U78,COLUMNS(Source_Filaire!$R$2:Z78)),"")</f>
        <v>PC</v>
      </c>
      <c r="J93" s="40" t="str">
        <f>IFERROR(INDEX(Source_Filaire!$A$2:$M$104,Source_Filaire!$U78,COLUMNS(Source_Filaire!$R$2:AA78)),"")</f>
        <v>2 ans</v>
      </c>
      <c r="K93" s="40" t="str">
        <f>IFERROR(INDEX(Source_Filaire!$A$2:$M$104,Source_Filaire!$U78,COLUMNS(Source_Filaire!$R$2:AB78)),"")</f>
        <v>Non</v>
      </c>
      <c r="L93" s="40" t="str">
        <f>IFERROR(INDEX(Source_Filaire!$A$2:$M$104,Source_Filaire!$U78,COLUMNS(Source_Filaire!$R$2:AC78)),"")</f>
        <v>Serre-tête</v>
      </c>
      <c r="M93" s="40">
        <f>IFERROR(INDEX(Source_Filaire!$A$2:$M$104,Source_Filaire!$U78,COLUMNS(Source_Filaire!$R$2:AD78)),"")</f>
        <v>0</v>
      </c>
    </row>
    <row r="94" spans="1:13" x14ac:dyDescent="0.25">
      <c r="A94" s="8" t="str">
        <f>IFERROR(INDEX(Source_Filaire!$A$2:$M$104,Source_Filaire!$U79,COLUMNS(Source_Filaire!$R$2:R79)),"")</f>
        <v xml:space="preserve">PLANTRONICS </v>
      </c>
      <c r="B94" s="8" t="str">
        <f>IFERROR(INDEX(Source_Filaire!$A$2:$M$104,Source_Filaire!$U79,COLUMNS(Source_Filaire!$R$2:S79)),"")</f>
        <v>Blackwire C725-M</v>
      </c>
      <c r="C94" s="8" t="str">
        <f>IFERROR(INDEX(Source_Filaire!$A$2:$M$104,Source_Filaire!$U79,COLUMNS(Source_Filaire!$R$2:T79)),"")</f>
        <v>Filaire</v>
      </c>
      <c r="D94" s="8" t="str">
        <f>IFERROR(INDEX(Source_Filaire!$A$2:$M$104,Source_Filaire!$U79,COLUMNS(Source_Filaire!$R$2:U79)),"")</f>
        <v>202581-01</v>
      </c>
      <c r="E94" s="43">
        <f>IFERROR(INDEX(Source_Filaire!$A$2:$M$104,Source_Filaire!$U79,COLUMNS(Source_Filaire!$R$2:V79)),"")</f>
        <v>179</v>
      </c>
      <c r="F94" s="8" t="str">
        <f>IFERROR(INDEX(Source_Filaire!$A$2:$M$104,Source_Filaire!$U79,COLUMNS(Source_Filaire!$R$2:W79)),"")</f>
        <v>Bino</v>
      </c>
      <c r="G94" s="40">
        <f>IFERROR(INDEX(Source_Filaire!$A$2:$M$104,Source_Filaire!$U79,COLUMNS(Source_Filaire!$R$2:X79)),"")</f>
        <v>0</v>
      </c>
      <c r="H94" s="40" t="str">
        <f>IFERROR(INDEX(Source_Filaire!$A$2:$M$104,Source_Filaire!$U79,COLUMNS(Source_Filaire!$R$2:Y79)),"")</f>
        <v>USB</v>
      </c>
      <c r="I94" s="40" t="str">
        <f>IFERROR(INDEX(Source_Filaire!$A$2:$M$104,Source_Filaire!$U79,COLUMNS(Source_Filaire!$R$2:Z79)),"")</f>
        <v>PC</v>
      </c>
      <c r="J94" s="40" t="str">
        <f>IFERROR(INDEX(Source_Filaire!$A$2:$M$104,Source_Filaire!$U79,COLUMNS(Source_Filaire!$R$2:AA79)),"")</f>
        <v>2 ans</v>
      </c>
      <c r="K94" s="40" t="str">
        <f>IFERROR(INDEX(Source_Filaire!$A$2:$M$104,Source_Filaire!$U79,COLUMNS(Source_Filaire!$R$2:AB79)),"")</f>
        <v>Oui</v>
      </c>
      <c r="L94" s="40" t="str">
        <f>IFERROR(INDEX(Source_Filaire!$A$2:$M$104,Source_Filaire!$U79,COLUMNS(Source_Filaire!$R$2:AC79)),"")</f>
        <v>Serre-tête</v>
      </c>
      <c r="M94" s="40">
        <f>IFERROR(INDEX(Source_Filaire!$A$2:$M$104,Source_Filaire!$U79,COLUMNS(Source_Filaire!$R$2:AD79)),"")</f>
        <v>0</v>
      </c>
    </row>
    <row r="95" spans="1:13" x14ac:dyDescent="0.25">
      <c r="A95" s="8" t="str">
        <f>IFERROR(INDEX(Source_Filaire!$A$2:$M$104,Source_Filaire!$U80,COLUMNS(Source_Filaire!$R$2:R80)),"")</f>
        <v>SENNHEISER</v>
      </c>
      <c r="B95" s="8" t="str">
        <f>IFERROR(INDEX(Source_Filaire!$A$2:$M$104,Source_Filaire!$U80,COLUMNS(Source_Filaire!$R$2:S80)),"")</f>
        <v>SC 630 USB CTRL</v>
      </c>
      <c r="C95" s="8" t="str">
        <f>IFERROR(INDEX(Source_Filaire!$A$2:$M$104,Source_Filaire!$U80,COLUMNS(Source_Filaire!$R$2:T80)),"")</f>
        <v>Filaire</v>
      </c>
      <c r="D95" s="8">
        <f>IFERROR(INDEX(Source_Filaire!$A$2:$M$104,Source_Filaire!$U80,COLUMNS(Source_Filaire!$R$2:U80)),"")</f>
        <v>504554</v>
      </c>
      <c r="E95" s="43">
        <f>IFERROR(INDEX(Source_Filaire!$A$2:$M$104,Source_Filaire!$U80,COLUMNS(Source_Filaire!$R$2:V80)),"")</f>
        <v>189</v>
      </c>
      <c r="F95" s="8" t="str">
        <f>IFERROR(INDEX(Source_Filaire!$A$2:$M$104,Source_Filaire!$U80,COLUMNS(Source_Filaire!$R$2:W80)),"")</f>
        <v>Mono</v>
      </c>
      <c r="G95" s="40" t="str">
        <f>IFERROR(INDEX(Source_Filaire!$A$2:$M$104,Source_Filaire!$U80,COLUMNS(Source_Filaire!$R$2:X80)),"")</f>
        <v>134g</v>
      </c>
      <c r="H95" s="40" t="str">
        <f>IFERROR(INDEX(Source_Filaire!$A$2:$M$104,Source_Filaire!$U80,COLUMNS(Source_Filaire!$R$2:Y80)),"")</f>
        <v>USB</v>
      </c>
      <c r="I95" s="40" t="str">
        <f>IFERROR(INDEX(Source_Filaire!$A$2:$M$104,Source_Filaire!$U80,COLUMNS(Source_Filaire!$R$2:Z80)),"")</f>
        <v>PC</v>
      </c>
      <c r="J95" s="40" t="str">
        <f>IFERROR(INDEX(Source_Filaire!$A$2:$M$104,Source_Filaire!$U80,COLUMNS(Source_Filaire!$R$2:AA80)),"")</f>
        <v>3 ans</v>
      </c>
      <c r="K95" s="40" t="str">
        <f>IFERROR(INDEX(Source_Filaire!$A$2:$M$104,Source_Filaire!$U80,COLUMNS(Source_Filaire!$R$2:AB80)),"")</f>
        <v>Non</v>
      </c>
      <c r="L95" s="40" t="str">
        <f>IFERROR(INDEX(Source_Filaire!$A$2:$M$104,Source_Filaire!$U80,COLUMNS(Source_Filaire!$R$2:AC80)),"")</f>
        <v>Serre-tête</v>
      </c>
      <c r="M95" s="40">
        <f>IFERROR(INDEX(Source_Filaire!$A$2:$M$104,Source_Filaire!$U80,COLUMNS(Source_Filaire!$R$2:AD80)),"")</f>
        <v>0</v>
      </c>
    </row>
    <row r="96" spans="1:13" x14ac:dyDescent="0.25">
      <c r="A96" s="8" t="str">
        <f>IFERROR(INDEX(Source_Filaire!$A$2:$M$104,Source_Filaire!$U81,COLUMNS(Source_Filaire!$R$2:R81)),"")</f>
        <v>SENNHEISER</v>
      </c>
      <c r="B96" s="8" t="str">
        <f>IFERROR(INDEX(Source_Filaire!$A$2:$M$104,Source_Filaire!$U81,COLUMNS(Source_Filaire!$R$2:S81)),"")</f>
        <v>SC 630 USB ML</v>
      </c>
      <c r="C96" s="8" t="str">
        <f>IFERROR(INDEX(Source_Filaire!$A$2:$M$104,Source_Filaire!$U81,COLUMNS(Source_Filaire!$R$2:T81)),"")</f>
        <v>Filaire</v>
      </c>
      <c r="D96" s="8">
        <f>IFERROR(INDEX(Source_Filaire!$A$2:$M$104,Source_Filaire!$U81,COLUMNS(Source_Filaire!$R$2:U81)),"")</f>
        <v>504552</v>
      </c>
      <c r="E96" s="43">
        <f>IFERROR(INDEX(Source_Filaire!$A$2:$M$104,Source_Filaire!$U81,COLUMNS(Source_Filaire!$R$2:V81)),"")</f>
        <v>189</v>
      </c>
      <c r="F96" s="8" t="str">
        <f>IFERROR(INDEX(Source_Filaire!$A$2:$M$104,Source_Filaire!$U81,COLUMNS(Source_Filaire!$R$2:W81)),"")</f>
        <v>Mono</v>
      </c>
      <c r="G96" s="40" t="str">
        <f>IFERROR(INDEX(Source_Filaire!$A$2:$M$104,Source_Filaire!$U81,COLUMNS(Source_Filaire!$R$2:X81)),"")</f>
        <v>134g</v>
      </c>
      <c r="H96" s="40" t="str">
        <f>IFERROR(INDEX(Source_Filaire!$A$2:$M$104,Source_Filaire!$U81,COLUMNS(Source_Filaire!$R$2:Y81)),"")</f>
        <v>USB</v>
      </c>
      <c r="I96" s="40" t="str">
        <f>IFERROR(INDEX(Source_Filaire!$A$2:$M$104,Source_Filaire!$U81,COLUMNS(Source_Filaire!$R$2:Z81)),"")</f>
        <v>PC</v>
      </c>
      <c r="J96" s="40" t="str">
        <f>IFERROR(INDEX(Source_Filaire!$A$2:$M$104,Source_Filaire!$U81,COLUMNS(Source_Filaire!$R$2:AA81)),"")</f>
        <v>3 ans</v>
      </c>
      <c r="K96" s="40" t="str">
        <f>IFERROR(INDEX(Source_Filaire!$A$2:$M$104,Source_Filaire!$U81,COLUMNS(Source_Filaire!$R$2:AB81)),"")</f>
        <v>Oui</v>
      </c>
      <c r="L96" s="40" t="str">
        <f>IFERROR(INDEX(Source_Filaire!$A$2:$M$104,Source_Filaire!$U81,COLUMNS(Source_Filaire!$R$2:AC81)),"")</f>
        <v>Serre-tête</v>
      </c>
      <c r="M96" s="40">
        <f>IFERROR(INDEX(Source_Filaire!$A$2:$M$104,Source_Filaire!$U81,COLUMNS(Source_Filaire!$R$2:AD81)),"")</f>
        <v>0</v>
      </c>
    </row>
    <row r="97" spans="1:13" x14ac:dyDescent="0.25">
      <c r="A97" s="8" t="str">
        <f>IFERROR(INDEX(Source_Filaire!$A$2:$M$104,Source_Filaire!$U82,COLUMNS(Source_Filaire!$R$2:R82)),"")</f>
        <v>SENNHEISER</v>
      </c>
      <c r="B97" s="8" t="str">
        <f>IFERROR(INDEX(Source_Filaire!$A$2:$M$104,Source_Filaire!$U82,COLUMNS(Source_Filaire!$R$2:S82)),"")</f>
        <v>SC 660 USB CTRL</v>
      </c>
      <c r="C97" s="8" t="str">
        <f>IFERROR(INDEX(Source_Filaire!$A$2:$M$104,Source_Filaire!$U82,COLUMNS(Source_Filaire!$R$2:T82)),"")</f>
        <v>Filaire</v>
      </c>
      <c r="D97" s="8">
        <f>IFERROR(INDEX(Source_Filaire!$A$2:$M$104,Source_Filaire!$U82,COLUMNS(Source_Filaire!$R$2:U82)),"")</f>
        <v>504555</v>
      </c>
      <c r="E97" s="43">
        <f>IFERROR(INDEX(Source_Filaire!$A$2:$M$104,Source_Filaire!$U82,COLUMNS(Source_Filaire!$R$2:V82)),"")</f>
        <v>219</v>
      </c>
      <c r="F97" s="8" t="str">
        <f>IFERROR(INDEX(Source_Filaire!$A$2:$M$104,Source_Filaire!$U82,COLUMNS(Source_Filaire!$R$2:W82)),"")</f>
        <v>Bino</v>
      </c>
      <c r="G97" s="40" t="str">
        <f>IFERROR(INDEX(Source_Filaire!$A$2:$M$104,Source_Filaire!$U82,COLUMNS(Source_Filaire!$R$2:X82)),"")</f>
        <v>110g</v>
      </c>
      <c r="H97" s="40" t="str">
        <f>IFERROR(INDEX(Source_Filaire!$A$2:$M$104,Source_Filaire!$U82,COLUMNS(Source_Filaire!$R$2:Y82)),"")</f>
        <v>USB</v>
      </c>
      <c r="I97" s="40" t="str">
        <f>IFERROR(INDEX(Source_Filaire!$A$2:$M$104,Source_Filaire!$U82,COLUMNS(Source_Filaire!$R$2:Z82)),"")</f>
        <v>PC</v>
      </c>
      <c r="J97" s="40" t="str">
        <f>IFERROR(INDEX(Source_Filaire!$A$2:$M$104,Source_Filaire!$U82,COLUMNS(Source_Filaire!$R$2:AA82)),"")</f>
        <v>3 ans</v>
      </c>
      <c r="K97" s="40" t="str">
        <f>IFERROR(INDEX(Source_Filaire!$A$2:$M$104,Source_Filaire!$U82,COLUMNS(Source_Filaire!$R$2:AB82)),"")</f>
        <v>Non</v>
      </c>
      <c r="L97" s="40" t="str">
        <f>IFERROR(INDEX(Source_Filaire!$A$2:$M$104,Source_Filaire!$U82,COLUMNS(Source_Filaire!$R$2:AC82)),"")</f>
        <v>Serre-tête</v>
      </c>
      <c r="M97" s="40">
        <f>IFERROR(INDEX(Source_Filaire!$A$2:$M$104,Source_Filaire!$U82,COLUMNS(Source_Filaire!$R$2:AD82)),"")</f>
        <v>0</v>
      </c>
    </row>
    <row r="98" spans="1:13" x14ac:dyDescent="0.25">
      <c r="A98" s="8" t="str">
        <f>IFERROR(INDEX(Source_Filaire!$A$2:$M$104,Source_Filaire!$U83,COLUMNS(Source_Filaire!$R$2:R83)),"")</f>
        <v>SENNHEISER</v>
      </c>
      <c r="B98" s="8" t="str">
        <f>IFERROR(INDEX(Source_Filaire!$A$2:$M$104,Source_Filaire!$U83,COLUMNS(Source_Filaire!$R$2:S83)),"")</f>
        <v>SC 660 USB ML</v>
      </c>
      <c r="C98" s="8" t="str">
        <f>IFERROR(INDEX(Source_Filaire!$A$2:$M$104,Source_Filaire!$U83,COLUMNS(Source_Filaire!$R$2:T83)),"")</f>
        <v>Filaire</v>
      </c>
      <c r="D98" s="8">
        <f>IFERROR(INDEX(Source_Filaire!$A$2:$M$104,Source_Filaire!$U83,COLUMNS(Source_Filaire!$R$2:U83)),"")</f>
        <v>504553</v>
      </c>
      <c r="E98" s="43">
        <f>IFERROR(INDEX(Source_Filaire!$A$2:$M$104,Source_Filaire!$U83,COLUMNS(Source_Filaire!$R$2:V83)),"")</f>
        <v>219</v>
      </c>
      <c r="F98" s="8" t="str">
        <f>IFERROR(INDEX(Source_Filaire!$A$2:$M$104,Source_Filaire!$U83,COLUMNS(Source_Filaire!$R$2:W83)),"")</f>
        <v>Bino</v>
      </c>
      <c r="G98" s="40" t="str">
        <f>IFERROR(INDEX(Source_Filaire!$A$2:$M$104,Source_Filaire!$U83,COLUMNS(Source_Filaire!$R$2:X83)),"")</f>
        <v>110g</v>
      </c>
      <c r="H98" s="40" t="str">
        <f>IFERROR(INDEX(Source_Filaire!$A$2:$M$104,Source_Filaire!$U83,COLUMNS(Source_Filaire!$R$2:Y83)),"")</f>
        <v>USB</v>
      </c>
      <c r="I98" s="40" t="str">
        <f>IFERROR(INDEX(Source_Filaire!$A$2:$M$104,Source_Filaire!$U83,COLUMNS(Source_Filaire!$R$2:Z83)),"")</f>
        <v>PC</v>
      </c>
      <c r="J98" s="40" t="str">
        <f>IFERROR(INDEX(Source_Filaire!$A$2:$M$104,Source_Filaire!$U83,COLUMNS(Source_Filaire!$R$2:AA83)),"")</f>
        <v>3 ans</v>
      </c>
      <c r="K98" s="40" t="str">
        <f>IFERROR(INDEX(Source_Filaire!$A$2:$M$104,Source_Filaire!$U83,COLUMNS(Source_Filaire!$R$2:AB83)),"")</f>
        <v>Oui</v>
      </c>
      <c r="L98" s="40" t="str">
        <f>IFERROR(INDEX(Source_Filaire!$A$2:$M$104,Source_Filaire!$U83,COLUMNS(Source_Filaire!$R$2:AC83)),"")</f>
        <v>Serre-tête</v>
      </c>
      <c r="M98" s="40">
        <f>IFERROR(INDEX(Source_Filaire!$A$2:$M$104,Source_Filaire!$U83,COLUMNS(Source_Filaire!$R$2:AD83)),"")</f>
        <v>0</v>
      </c>
    </row>
    <row r="99" spans="1:13" x14ac:dyDescent="0.25">
      <c r="A99" s="8" t="str">
        <f>IFERROR(INDEX(Source_Filaire!$A$2:$M$104,Source_Filaire!$U84,COLUMNS(Source_Filaire!$R$2:R84)),"")</f>
        <v>SENNHEISER</v>
      </c>
      <c r="B99" s="8" t="str">
        <f>IFERROR(INDEX(Source_Filaire!$A$2:$M$104,Source_Filaire!$U84,COLUMNS(Source_Filaire!$R$2:S84)),"")</f>
        <v xml:space="preserve">SC 230 USB </v>
      </c>
      <c r="C99" s="8" t="str">
        <f>IFERROR(INDEX(Source_Filaire!$A$2:$M$104,Source_Filaire!$U84,COLUMNS(Source_Filaire!$R$2:T84)),"")</f>
        <v>Filaire</v>
      </c>
      <c r="D99" s="8">
        <f>IFERROR(INDEX(Source_Filaire!$A$2:$M$104,Source_Filaire!$U84,COLUMNS(Source_Filaire!$R$2:U84)),"")</f>
        <v>504403</v>
      </c>
      <c r="E99" s="43">
        <f>IFERROR(INDEX(Source_Filaire!$A$2:$M$104,Source_Filaire!$U84,COLUMNS(Source_Filaire!$R$2:V84)),"")</f>
        <v>105</v>
      </c>
      <c r="F99" s="8" t="str">
        <f>IFERROR(INDEX(Source_Filaire!$A$2:$M$104,Source_Filaire!$U84,COLUMNS(Source_Filaire!$R$2:W84)),"")</f>
        <v>Mono</v>
      </c>
      <c r="G99" s="40" t="str">
        <f>IFERROR(INDEX(Source_Filaire!$A$2:$M$104,Source_Filaire!$U84,COLUMNS(Source_Filaire!$R$2:X84)),"")</f>
        <v>58g</v>
      </c>
      <c r="H99" s="40" t="str">
        <f>IFERROR(INDEX(Source_Filaire!$A$2:$M$104,Source_Filaire!$U84,COLUMNS(Source_Filaire!$R$2:Y84)),"")</f>
        <v>USB</v>
      </c>
      <c r="I99" s="40" t="str">
        <f>IFERROR(INDEX(Source_Filaire!$A$2:$M$104,Source_Filaire!$U84,COLUMNS(Source_Filaire!$R$2:Z84)),"")</f>
        <v>PC</v>
      </c>
      <c r="J99" s="40" t="str">
        <f>IFERROR(INDEX(Source_Filaire!$A$2:$M$104,Source_Filaire!$U84,COLUMNS(Source_Filaire!$R$2:AA84)),"")</f>
        <v>2 ans</v>
      </c>
      <c r="K99" s="40" t="str">
        <f>IFERROR(INDEX(Source_Filaire!$A$2:$M$104,Source_Filaire!$U84,COLUMNS(Source_Filaire!$R$2:AB84)),"")</f>
        <v>Non</v>
      </c>
      <c r="L99" s="40" t="str">
        <f>IFERROR(INDEX(Source_Filaire!$A$2:$M$104,Source_Filaire!$U84,COLUMNS(Source_Filaire!$R$2:AC84)),"")</f>
        <v>Serre-tête</v>
      </c>
      <c r="M99" s="40">
        <f>IFERROR(INDEX(Source_Filaire!$A$2:$M$104,Source_Filaire!$U84,COLUMNS(Source_Filaire!$R$2:AD84)),"")</f>
        <v>0</v>
      </c>
    </row>
    <row r="100" spans="1:13" x14ac:dyDescent="0.25">
      <c r="A100" s="8" t="str">
        <f>IFERROR(INDEX(Source_Filaire!$A$2:$M$104,Source_Filaire!$U85,COLUMNS(Source_Filaire!$R$2:R85)),"")</f>
        <v>SENNHEISER</v>
      </c>
      <c r="B100" s="8" t="str">
        <f>IFERROR(INDEX(Source_Filaire!$A$2:$M$104,Source_Filaire!$U85,COLUMNS(Source_Filaire!$R$2:S85)),"")</f>
        <v>SC 230 USB CTRL II</v>
      </c>
      <c r="C100" s="8" t="str">
        <f>IFERROR(INDEX(Source_Filaire!$A$2:$M$104,Source_Filaire!$U85,COLUMNS(Source_Filaire!$R$2:T85)),"")</f>
        <v>Filaire</v>
      </c>
      <c r="D100" s="8">
        <f>IFERROR(INDEX(Source_Filaire!$A$2:$M$104,Source_Filaire!$U85,COLUMNS(Source_Filaire!$R$2:U85)),"")</f>
        <v>506480</v>
      </c>
      <c r="E100" s="43">
        <f>IFERROR(INDEX(Source_Filaire!$A$2:$M$104,Source_Filaire!$U85,COLUMNS(Source_Filaire!$R$2:V85)),"")</f>
        <v>120</v>
      </c>
      <c r="F100" s="8" t="str">
        <f>IFERROR(INDEX(Source_Filaire!$A$2:$M$104,Source_Filaire!$U85,COLUMNS(Source_Filaire!$R$2:W85)),"")</f>
        <v>Mono</v>
      </c>
      <c r="G100" s="40" t="str">
        <f>IFERROR(INDEX(Source_Filaire!$A$2:$M$104,Source_Filaire!$U85,COLUMNS(Source_Filaire!$R$2:X85)),"")</f>
        <v>58g</v>
      </c>
      <c r="H100" s="40" t="str">
        <f>IFERROR(INDEX(Source_Filaire!$A$2:$M$104,Source_Filaire!$U85,COLUMNS(Source_Filaire!$R$2:Y85)),"")</f>
        <v>USB</v>
      </c>
      <c r="I100" s="40" t="str">
        <f>IFERROR(INDEX(Source_Filaire!$A$2:$M$104,Source_Filaire!$U85,COLUMNS(Source_Filaire!$R$2:Z85)),"")</f>
        <v>PC</v>
      </c>
      <c r="J100" s="40" t="str">
        <f>IFERROR(INDEX(Source_Filaire!$A$2:$M$104,Source_Filaire!$U85,COLUMNS(Source_Filaire!$R$2:AA85)),"")</f>
        <v>2 ans</v>
      </c>
      <c r="K100" s="40" t="str">
        <f>IFERROR(INDEX(Source_Filaire!$A$2:$M$104,Source_Filaire!$U85,COLUMNS(Source_Filaire!$R$2:AB85)),"")</f>
        <v>Non</v>
      </c>
      <c r="L100" s="40" t="str">
        <f>IFERROR(INDEX(Source_Filaire!$A$2:$M$104,Source_Filaire!$U85,COLUMNS(Source_Filaire!$R$2:AC85)),"")</f>
        <v>Serre-tête</v>
      </c>
      <c r="M100" s="40">
        <f>IFERROR(INDEX(Source_Filaire!$A$2:$M$104,Source_Filaire!$U85,COLUMNS(Source_Filaire!$R$2:AD85)),"")</f>
        <v>0</v>
      </c>
    </row>
    <row r="101" spans="1:13" x14ac:dyDescent="0.25">
      <c r="A101" s="8" t="str">
        <f>IFERROR(INDEX(Source_Filaire!$A$2:$M$104,Source_Filaire!$U86,COLUMNS(Source_Filaire!$R$2:R86)),"")</f>
        <v>SENNHEISER</v>
      </c>
      <c r="B101" s="8" t="str">
        <f>IFERROR(INDEX(Source_Filaire!$A$2:$M$104,Source_Filaire!$U86,COLUMNS(Source_Filaire!$R$2:S86)),"")</f>
        <v>SC 230 USB MS II</v>
      </c>
      <c r="C101" s="8" t="str">
        <f>IFERROR(INDEX(Source_Filaire!$A$2:$M$104,Source_Filaire!$U86,COLUMNS(Source_Filaire!$R$2:T86)),"")</f>
        <v>Filaire</v>
      </c>
      <c r="D101" s="8">
        <f>IFERROR(INDEX(Source_Filaire!$A$2:$M$104,Source_Filaire!$U86,COLUMNS(Source_Filaire!$R$2:U86)),"")</f>
        <v>504407</v>
      </c>
      <c r="E101" s="43">
        <f>IFERROR(INDEX(Source_Filaire!$A$2:$M$104,Source_Filaire!$U86,COLUMNS(Source_Filaire!$R$2:V86)),"")</f>
        <v>120</v>
      </c>
      <c r="F101" s="8" t="str">
        <f>IFERROR(INDEX(Source_Filaire!$A$2:$M$104,Source_Filaire!$U86,COLUMNS(Source_Filaire!$R$2:W86)),"")</f>
        <v>Mono</v>
      </c>
      <c r="G101" s="40" t="str">
        <f>IFERROR(INDEX(Source_Filaire!$A$2:$M$104,Source_Filaire!$U86,COLUMNS(Source_Filaire!$R$2:X86)),"")</f>
        <v>58g</v>
      </c>
      <c r="H101" s="40" t="str">
        <f>IFERROR(INDEX(Source_Filaire!$A$2:$M$104,Source_Filaire!$U86,COLUMNS(Source_Filaire!$R$2:Y86)),"")</f>
        <v>USB</v>
      </c>
      <c r="I101" s="40" t="str">
        <f>IFERROR(INDEX(Source_Filaire!$A$2:$M$104,Source_Filaire!$U86,COLUMNS(Source_Filaire!$R$2:Z86)),"")</f>
        <v>PC</v>
      </c>
      <c r="J101" s="40" t="str">
        <f>IFERROR(INDEX(Source_Filaire!$A$2:$M$104,Source_Filaire!$U86,COLUMNS(Source_Filaire!$R$2:AA86)),"")</f>
        <v>2 ans</v>
      </c>
      <c r="K101" s="40" t="str">
        <f>IFERROR(INDEX(Source_Filaire!$A$2:$M$104,Source_Filaire!$U86,COLUMNS(Source_Filaire!$R$2:AB86)),"")</f>
        <v>Oui</v>
      </c>
      <c r="L101" s="40" t="str">
        <f>IFERROR(INDEX(Source_Filaire!$A$2:$M$104,Source_Filaire!$U86,COLUMNS(Source_Filaire!$R$2:AC86)),"")</f>
        <v>Serre-tête</v>
      </c>
      <c r="M101" s="40">
        <f>IFERROR(INDEX(Source_Filaire!$A$2:$M$104,Source_Filaire!$U86,COLUMNS(Source_Filaire!$R$2:AD86)),"")</f>
        <v>0</v>
      </c>
    </row>
    <row r="102" spans="1:13" x14ac:dyDescent="0.25">
      <c r="A102" s="8" t="str">
        <f>IFERROR(INDEX(Source_Filaire!$A$2:$M$104,Source_Filaire!$U87,COLUMNS(Source_Filaire!$R$2:R87)),"")</f>
        <v>SENNHEISER</v>
      </c>
      <c r="B102" s="8" t="str">
        <f>IFERROR(INDEX(Source_Filaire!$A$2:$M$104,Source_Filaire!$U87,COLUMNS(Source_Filaire!$R$2:S87)),"")</f>
        <v>SC 260 USB</v>
      </c>
      <c r="C102" s="8" t="str">
        <f>IFERROR(INDEX(Source_Filaire!$A$2:$M$104,Source_Filaire!$U87,COLUMNS(Source_Filaire!$R$2:T87)),"")</f>
        <v>Filaire</v>
      </c>
      <c r="D102" s="8">
        <f>IFERROR(INDEX(Source_Filaire!$A$2:$M$104,Source_Filaire!$U87,COLUMNS(Source_Filaire!$R$2:U87)),"")</f>
        <v>504404</v>
      </c>
      <c r="E102" s="43">
        <f>IFERROR(INDEX(Source_Filaire!$A$2:$M$104,Source_Filaire!$U87,COLUMNS(Source_Filaire!$R$2:V87)),"")</f>
        <v>130</v>
      </c>
      <c r="F102" s="8" t="str">
        <f>IFERROR(INDEX(Source_Filaire!$A$2:$M$104,Source_Filaire!$U87,COLUMNS(Source_Filaire!$R$2:W87)),"")</f>
        <v>Bino</v>
      </c>
      <c r="G102" s="40" t="str">
        <f>IFERROR(INDEX(Source_Filaire!$A$2:$M$104,Source_Filaire!$U87,COLUMNS(Source_Filaire!$R$2:X87)),"")</f>
        <v>86g</v>
      </c>
      <c r="H102" s="40" t="str">
        <f>IFERROR(INDEX(Source_Filaire!$A$2:$M$104,Source_Filaire!$U87,COLUMNS(Source_Filaire!$R$2:Y87)),"")</f>
        <v>USB</v>
      </c>
      <c r="I102" s="40" t="str">
        <f>IFERROR(INDEX(Source_Filaire!$A$2:$M$104,Source_Filaire!$U87,COLUMNS(Source_Filaire!$R$2:Z87)),"")</f>
        <v>PC</v>
      </c>
      <c r="J102" s="40" t="str">
        <f>IFERROR(INDEX(Source_Filaire!$A$2:$M$104,Source_Filaire!$U87,COLUMNS(Source_Filaire!$R$2:AA87)),"")</f>
        <v>3 ans</v>
      </c>
      <c r="K102" s="40" t="str">
        <f>IFERROR(INDEX(Source_Filaire!$A$2:$M$104,Source_Filaire!$U87,COLUMNS(Source_Filaire!$R$2:AB87)),"")</f>
        <v>Non</v>
      </c>
      <c r="L102" s="40" t="str">
        <f>IFERROR(INDEX(Source_Filaire!$A$2:$M$104,Source_Filaire!$U87,COLUMNS(Source_Filaire!$R$2:AC87)),"")</f>
        <v>Serre-tête</v>
      </c>
      <c r="M102" s="40">
        <f>IFERROR(INDEX(Source_Filaire!$A$2:$M$104,Source_Filaire!$U87,COLUMNS(Source_Filaire!$R$2:AD87)),"")</f>
        <v>0</v>
      </c>
    </row>
    <row r="103" spans="1:13" x14ac:dyDescent="0.25">
      <c r="A103" s="8" t="str">
        <f>IFERROR(INDEX(Source_Filaire!$A$2:$M$104,Source_Filaire!$U88,COLUMNS(Source_Filaire!$R$2:R88)),"")</f>
        <v>SENNHEISER</v>
      </c>
      <c r="B103" s="8" t="str">
        <f>IFERROR(INDEX(Source_Filaire!$A$2:$M$104,Source_Filaire!$U88,COLUMNS(Source_Filaire!$R$2:S88)),"")</f>
        <v>SC 260 USB CTRL II</v>
      </c>
      <c r="C103" s="8" t="str">
        <f>IFERROR(INDEX(Source_Filaire!$A$2:$M$104,Source_Filaire!$U88,COLUMNS(Source_Filaire!$R$2:T88)),"")</f>
        <v>Filaire</v>
      </c>
      <c r="D103" s="8">
        <f>IFERROR(INDEX(Source_Filaire!$A$2:$M$104,Source_Filaire!$U88,COLUMNS(Source_Filaire!$R$2:U88)),"")</f>
        <v>506481</v>
      </c>
      <c r="E103" s="43">
        <f>IFERROR(INDEX(Source_Filaire!$A$2:$M$104,Source_Filaire!$U88,COLUMNS(Source_Filaire!$R$2:V88)),"")</f>
        <v>139</v>
      </c>
      <c r="F103" s="8" t="str">
        <f>IFERROR(INDEX(Source_Filaire!$A$2:$M$104,Source_Filaire!$U88,COLUMNS(Source_Filaire!$R$2:W88)),"")</f>
        <v>Bino</v>
      </c>
      <c r="G103" s="40" t="str">
        <f>IFERROR(INDEX(Source_Filaire!$A$2:$M$104,Source_Filaire!$U88,COLUMNS(Source_Filaire!$R$2:X88)),"")</f>
        <v>86g</v>
      </c>
      <c r="H103" s="40" t="str">
        <f>IFERROR(INDEX(Source_Filaire!$A$2:$M$104,Source_Filaire!$U88,COLUMNS(Source_Filaire!$R$2:Y88)),"")</f>
        <v>USB</v>
      </c>
      <c r="I103" s="40" t="str">
        <f>IFERROR(INDEX(Source_Filaire!$A$2:$M$104,Source_Filaire!$U88,COLUMNS(Source_Filaire!$R$2:Z88)),"")</f>
        <v>PC</v>
      </c>
      <c r="J103" s="40" t="str">
        <f>IFERROR(INDEX(Source_Filaire!$A$2:$M$104,Source_Filaire!$U88,COLUMNS(Source_Filaire!$R$2:AA88)),"")</f>
        <v>3 ans</v>
      </c>
      <c r="K103" s="40" t="str">
        <f>IFERROR(INDEX(Source_Filaire!$A$2:$M$104,Source_Filaire!$U88,COLUMNS(Source_Filaire!$R$2:AB88)),"")</f>
        <v>Non</v>
      </c>
      <c r="L103" s="40" t="str">
        <f>IFERROR(INDEX(Source_Filaire!$A$2:$M$104,Source_Filaire!$U88,COLUMNS(Source_Filaire!$R$2:AC88)),"")</f>
        <v>Serre-tête</v>
      </c>
      <c r="M103" s="40">
        <f>IFERROR(INDEX(Source_Filaire!$A$2:$M$104,Source_Filaire!$U88,COLUMNS(Source_Filaire!$R$2:AD88)),"")</f>
        <v>0</v>
      </c>
    </row>
    <row r="104" spans="1:13" x14ac:dyDescent="0.25">
      <c r="A104" s="8" t="str">
        <f>IFERROR(INDEX(Source_Filaire!$A$2:$M$104,Source_Filaire!$U89,COLUMNS(Source_Filaire!$R$2:R89)),"")</f>
        <v>SENNHEISER</v>
      </c>
      <c r="B104" s="8" t="str">
        <f>IFERROR(INDEX(Source_Filaire!$A$2:$M$104,Source_Filaire!$U89,COLUMNS(Source_Filaire!$R$2:S89)),"")</f>
        <v>SC 260 USB MS II</v>
      </c>
      <c r="C104" s="8" t="str">
        <f>IFERROR(INDEX(Source_Filaire!$A$2:$M$104,Source_Filaire!$U89,COLUMNS(Source_Filaire!$R$2:T89)),"")</f>
        <v>Filaire</v>
      </c>
      <c r="D104" s="8">
        <f>IFERROR(INDEX(Source_Filaire!$A$2:$M$104,Source_Filaire!$U89,COLUMNS(Source_Filaire!$R$2:U89)),"")</f>
        <v>506483</v>
      </c>
      <c r="E104" s="43">
        <f>IFERROR(INDEX(Source_Filaire!$A$2:$M$104,Source_Filaire!$U89,COLUMNS(Source_Filaire!$R$2:V89)),"")</f>
        <v>140</v>
      </c>
      <c r="F104" s="8" t="str">
        <f>IFERROR(INDEX(Source_Filaire!$A$2:$M$104,Source_Filaire!$U89,COLUMNS(Source_Filaire!$R$2:W89)),"")</f>
        <v>Bino</v>
      </c>
      <c r="G104" s="40" t="str">
        <f>IFERROR(INDEX(Source_Filaire!$A$2:$M$104,Source_Filaire!$U89,COLUMNS(Source_Filaire!$R$2:X89)),"")</f>
        <v>86g</v>
      </c>
      <c r="H104" s="40" t="str">
        <f>IFERROR(INDEX(Source_Filaire!$A$2:$M$104,Source_Filaire!$U89,COLUMNS(Source_Filaire!$R$2:Y89)),"")</f>
        <v>USB</v>
      </c>
      <c r="I104" s="40" t="str">
        <f>IFERROR(INDEX(Source_Filaire!$A$2:$M$104,Source_Filaire!$U89,COLUMNS(Source_Filaire!$R$2:Z89)),"")</f>
        <v>PC</v>
      </c>
      <c r="J104" s="40" t="str">
        <f>IFERROR(INDEX(Source_Filaire!$A$2:$M$104,Source_Filaire!$U89,COLUMNS(Source_Filaire!$R$2:AA89)),"")</f>
        <v>3 ans</v>
      </c>
      <c r="K104" s="40" t="str">
        <f>IFERROR(INDEX(Source_Filaire!$A$2:$M$104,Source_Filaire!$U89,COLUMNS(Source_Filaire!$R$2:AB89)),"")</f>
        <v>Oui</v>
      </c>
      <c r="L104" s="40" t="str">
        <f>IFERROR(INDEX(Source_Filaire!$A$2:$M$104,Source_Filaire!$U89,COLUMNS(Source_Filaire!$R$2:AC89)),"")</f>
        <v>Serre-tête</v>
      </c>
      <c r="M104" s="40">
        <f>IFERROR(INDEX(Source_Filaire!$A$2:$M$104,Source_Filaire!$U89,COLUMNS(Source_Filaire!$R$2:AD89)),"")</f>
        <v>0</v>
      </c>
    </row>
    <row r="105" spans="1:13" x14ac:dyDescent="0.25">
      <c r="A105" s="8" t="str">
        <f>IFERROR(INDEX(Source_Filaire!$A$2:$M$104,Source_Filaire!$U90,COLUMNS(Source_Filaire!$R$2:R90)),"")</f>
        <v>SENNHEISER</v>
      </c>
      <c r="B105" s="8" t="str">
        <f>IFERROR(INDEX(Source_Filaire!$A$2:$M$104,Source_Filaire!$U90,COLUMNS(Source_Filaire!$R$2:S90)),"")</f>
        <v>SC 40 USB CTRL</v>
      </c>
      <c r="C105" s="8" t="str">
        <f>IFERROR(INDEX(Source_Filaire!$A$2:$M$104,Source_Filaire!$U90,COLUMNS(Source_Filaire!$R$2:T90)),"")</f>
        <v>Filaire</v>
      </c>
      <c r="D105" s="8">
        <f>IFERROR(INDEX(Source_Filaire!$A$2:$M$104,Source_Filaire!$U90,COLUMNS(Source_Filaire!$R$2:U90)),"")</f>
        <v>506500</v>
      </c>
      <c r="E105" s="43">
        <f>IFERROR(INDEX(Source_Filaire!$A$2:$M$104,Source_Filaire!$U90,COLUMNS(Source_Filaire!$R$2:V90)),"")</f>
        <v>80</v>
      </c>
      <c r="F105" s="8" t="str">
        <f>IFERROR(INDEX(Source_Filaire!$A$2:$M$104,Source_Filaire!$U90,COLUMNS(Source_Filaire!$R$2:W90)),"")</f>
        <v>Mono</v>
      </c>
      <c r="G105" s="40" t="str">
        <f>IFERROR(INDEX(Source_Filaire!$A$2:$M$104,Source_Filaire!$U90,COLUMNS(Source_Filaire!$R$2:X90)),"")</f>
        <v>92g</v>
      </c>
      <c r="H105" s="40" t="str">
        <f>IFERROR(INDEX(Source_Filaire!$A$2:$M$104,Source_Filaire!$U90,COLUMNS(Source_Filaire!$R$2:Y90)),"")</f>
        <v>USB</v>
      </c>
      <c r="I105" s="40" t="str">
        <f>IFERROR(INDEX(Source_Filaire!$A$2:$M$104,Source_Filaire!$U90,COLUMNS(Source_Filaire!$R$2:Z90)),"")</f>
        <v>PC</v>
      </c>
      <c r="J105" s="40" t="str">
        <f>IFERROR(INDEX(Source_Filaire!$A$2:$M$104,Source_Filaire!$U90,COLUMNS(Source_Filaire!$R$2:AA90)),"")</f>
        <v>2 ans</v>
      </c>
      <c r="K105" s="40" t="str">
        <f>IFERROR(INDEX(Source_Filaire!$A$2:$M$104,Source_Filaire!$U90,COLUMNS(Source_Filaire!$R$2:AB90)),"")</f>
        <v>Non</v>
      </c>
      <c r="L105" s="40" t="str">
        <f>IFERROR(INDEX(Source_Filaire!$A$2:$M$104,Source_Filaire!$U90,COLUMNS(Source_Filaire!$R$2:AC90)),"")</f>
        <v>Serre-tête</v>
      </c>
      <c r="M105" s="40">
        <f>IFERROR(INDEX(Source_Filaire!$A$2:$M$104,Source_Filaire!$U90,COLUMNS(Source_Filaire!$R$2:AD90)),"")</f>
        <v>0</v>
      </c>
    </row>
    <row r="106" spans="1:13" x14ac:dyDescent="0.25">
      <c r="A106" s="8" t="str">
        <f>IFERROR(INDEX(Source_Filaire!$A$2:$M$104,Source_Filaire!$U91,COLUMNS(Source_Filaire!$R$2:R91)),"")</f>
        <v>SENNHEISER</v>
      </c>
      <c r="B106" s="8" t="str">
        <f>IFERROR(INDEX(Source_Filaire!$A$2:$M$104,Source_Filaire!$U91,COLUMNS(Source_Filaire!$R$2:S91)),"")</f>
        <v>SC 40 USB MS</v>
      </c>
      <c r="C106" s="8" t="str">
        <f>IFERROR(INDEX(Source_Filaire!$A$2:$M$104,Source_Filaire!$U91,COLUMNS(Source_Filaire!$R$2:T91)),"")</f>
        <v>Filaire</v>
      </c>
      <c r="D106" s="8">
        <f>IFERROR(INDEX(Source_Filaire!$A$2:$M$104,Source_Filaire!$U91,COLUMNS(Source_Filaire!$R$2:U91)),"")</f>
        <v>506498</v>
      </c>
      <c r="E106" s="43">
        <f>IFERROR(INDEX(Source_Filaire!$A$2:$M$104,Source_Filaire!$U91,COLUMNS(Source_Filaire!$R$2:V91)),"")</f>
        <v>80</v>
      </c>
      <c r="F106" s="8" t="str">
        <f>IFERROR(INDEX(Source_Filaire!$A$2:$M$104,Source_Filaire!$U91,COLUMNS(Source_Filaire!$R$2:W91)),"")</f>
        <v>Mono</v>
      </c>
      <c r="G106" s="40" t="str">
        <f>IFERROR(INDEX(Source_Filaire!$A$2:$M$104,Source_Filaire!$U91,COLUMNS(Source_Filaire!$R$2:X91)),"")</f>
        <v>92g</v>
      </c>
      <c r="H106" s="40" t="str">
        <f>IFERROR(INDEX(Source_Filaire!$A$2:$M$104,Source_Filaire!$U91,COLUMNS(Source_Filaire!$R$2:Y91)),"")</f>
        <v>USB</v>
      </c>
      <c r="I106" s="40" t="str">
        <f>IFERROR(INDEX(Source_Filaire!$A$2:$M$104,Source_Filaire!$U91,COLUMNS(Source_Filaire!$R$2:Z91)),"")</f>
        <v>PC</v>
      </c>
      <c r="J106" s="40" t="str">
        <f>IFERROR(INDEX(Source_Filaire!$A$2:$M$104,Source_Filaire!$U91,COLUMNS(Source_Filaire!$R$2:AA91)),"")</f>
        <v>2 ans</v>
      </c>
      <c r="K106" s="40" t="str">
        <f>IFERROR(INDEX(Source_Filaire!$A$2:$M$104,Source_Filaire!$U91,COLUMNS(Source_Filaire!$R$2:AB91)),"")</f>
        <v>Oui</v>
      </c>
      <c r="L106" s="40" t="str">
        <f>IFERROR(INDEX(Source_Filaire!$A$2:$M$104,Source_Filaire!$U91,COLUMNS(Source_Filaire!$R$2:AC91)),"")</f>
        <v>Serre-tête</v>
      </c>
      <c r="M106" s="40">
        <f>IFERROR(INDEX(Source_Filaire!$A$2:$M$104,Source_Filaire!$U91,COLUMNS(Source_Filaire!$R$2:AD91)),"")</f>
        <v>0</v>
      </c>
    </row>
    <row r="107" spans="1:13" x14ac:dyDescent="0.25">
      <c r="A107" s="8" t="str">
        <f>IFERROR(INDEX(Source_Filaire!$A$2:$M$104,Source_Filaire!$U92,COLUMNS(Source_Filaire!$R$2:R92)),"")</f>
        <v>SENNHEISER</v>
      </c>
      <c r="B107" s="8" t="str">
        <f>IFERROR(INDEX(Source_Filaire!$A$2:$M$104,Source_Filaire!$U92,COLUMNS(Source_Filaire!$R$2:S92)),"")</f>
        <v>SC 70 USB CTRL</v>
      </c>
      <c r="C107" s="8" t="str">
        <f>IFERROR(INDEX(Source_Filaire!$A$2:$M$104,Source_Filaire!$U92,COLUMNS(Source_Filaire!$R$2:T92)),"")</f>
        <v>Filaire</v>
      </c>
      <c r="D107" s="8">
        <f>IFERROR(INDEX(Source_Filaire!$A$2:$M$104,Source_Filaire!$U92,COLUMNS(Source_Filaire!$R$2:U92)),"")</f>
        <v>506504</v>
      </c>
      <c r="E107" s="43">
        <f>IFERROR(INDEX(Source_Filaire!$A$2:$M$104,Source_Filaire!$U92,COLUMNS(Source_Filaire!$R$2:V92)),"")</f>
        <v>90</v>
      </c>
      <c r="F107" s="8" t="str">
        <f>IFERROR(INDEX(Source_Filaire!$A$2:$M$104,Source_Filaire!$U92,COLUMNS(Source_Filaire!$R$2:W92)),"")</f>
        <v>Bino</v>
      </c>
      <c r="G107" s="40" t="str">
        <f>IFERROR(INDEX(Source_Filaire!$A$2:$M$104,Source_Filaire!$U92,COLUMNS(Source_Filaire!$R$2:X92)),"")</f>
        <v>92g</v>
      </c>
      <c r="H107" s="40" t="str">
        <f>IFERROR(INDEX(Source_Filaire!$A$2:$M$104,Source_Filaire!$U92,COLUMNS(Source_Filaire!$R$2:Y92)),"")</f>
        <v>USB</v>
      </c>
      <c r="I107" s="40" t="str">
        <f>IFERROR(INDEX(Source_Filaire!$A$2:$M$104,Source_Filaire!$U92,COLUMNS(Source_Filaire!$R$2:Z92)),"")</f>
        <v>PC</v>
      </c>
      <c r="J107" s="40" t="str">
        <f>IFERROR(INDEX(Source_Filaire!$A$2:$M$104,Source_Filaire!$U92,COLUMNS(Source_Filaire!$R$2:AA92)),"")</f>
        <v>2 ans</v>
      </c>
      <c r="K107" s="40" t="str">
        <f>IFERROR(INDEX(Source_Filaire!$A$2:$M$104,Source_Filaire!$U92,COLUMNS(Source_Filaire!$R$2:AB92)),"")</f>
        <v>Non</v>
      </c>
      <c r="L107" s="40" t="str">
        <f>IFERROR(INDEX(Source_Filaire!$A$2:$M$104,Source_Filaire!$U92,COLUMNS(Source_Filaire!$R$2:AC92)),"")</f>
        <v>Serre-tête</v>
      </c>
      <c r="M107" s="40">
        <f>IFERROR(INDEX(Source_Filaire!$A$2:$M$104,Source_Filaire!$U92,COLUMNS(Source_Filaire!$R$2:AD92)),"")</f>
        <v>0</v>
      </c>
    </row>
    <row r="108" spans="1:13" x14ac:dyDescent="0.25">
      <c r="A108" s="8" t="str">
        <f>IFERROR(INDEX(Source_Filaire!$A$2:$M$104,Source_Filaire!$U93,COLUMNS(Source_Filaire!$R$2:R93)),"")</f>
        <v>SENNHEISER</v>
      </c>
      <c r="B108" s="8" t="str">
        <f>IFERROR(INDEX(Source_Filaire!$A$2:$M$104,Source_Filaire!$U93,COLUMNS(Source_Filaire!$R$2:S93)),"")</f>
        <v>SC 70 USB MS</v>
      </c>
      <c r="C108" s="8" t="str">
        <f>IFERROR(INDEX(Source_Filaire!$A$2:$M$104,Source_Filaire!$U93,COLUMNS(Source_Filaire!$R$2:T93)),"")</f>
        <v>Filaire</v>
      </c>
      <c r="D108" s="8">
        <f>IFERROR(INDEX(Source_Filaire!$A$2:$M$104,Source_Filaire!$U93,COLUMNS(Source_Filaire!$R$2:U93)),"")</f>
        <v>506502</v>
      </c>
      <c r="E108" s="43">
        <f>IFERROR(INDEX(Source_Filaire!$A$2:$M$104,Source_Filaire!$U93,COLUMNS(Source_Filaire!$R$2:V93)),"")</f>
        <v>90</v>
      </c>
      <c r="F108" s="8" t="str">
        <f>IFERROR(INDEX(Source_Filaire!$A$2:$M$104,Source_Filaire!$U93,COLUMNS(Source_Filaire!$R$2:W93)),"")</f>
        <v>Bino</v>
      </c>
      <c r="G108" s="40" t="str">
        <f>IFERROR(INDEX(Source_Filaire!$A$2:$M$104,Source_Filaire!$U93,COLUMNS(Source_Filaire!$R$2:X93)),"")</f>
        <v>92g</v>
      </c>
      <c r="H108" s="40" t="str">
        <f>IFERROR(INDEX(Source_Filaire!$A$2:$M$104,Source_Filaire!$U93,COLUMNS(Source_Filaire!$R$2:Y93)),"")</f>
        <v>USB</v>
      </c>
      <c r="I108" s="40" t="str">
        <f>IFERROR(INDEX(Source_Filaire!$A$2:$M$104,Source_Filaire!$U93,COLUMNS(Source_Filaire!$R$2:Z93)),"")</f>
        <v>PC</v>
      </c>
      <c r="J108" s="40" t="str">
        <f>IFERROR(INDEX(Source_Filaire!$A$2:$M$104,Source_Filaire!$U93,COLUMNS(Source_Filaire!$R$2:AA93)),"")</f>
        <v>2 ans</v>
      </c>
      <c r="K108" s="40" t="str">
        <f>IFERROR(INDEX(Source_Filaire!$A$2:$M$104,Source_Filaire!$U93,COLUMNS(Source_Filaire!$R$2:AB93)),"")</f>
        <v>Oui</v>
      </c>
      <c r="L108" s="40" t="str">
        <f>IFERROR(INDEX(Source_Filaire!$A$2:$M$104,Source_Filaire!$U93,COLUMNS(Source_Filaire!$R$2:AC93)),"")</f>
        <v>Serre-tête</v>
      </c>
      <c r="M108" s="40">
        <f>IFERROR(INDEX(Source_Filaire!$A$2:$M$104,Source_Filaire!$U93,COLUMNS(Source_Filaire!$R$2:AD93)),"")</f>
        <v>0</v>
      </c>
    </row>
    <row r="109" spans="1:13" x14ac:dyDescent="0.25">
      <c r="A109" s="8" t="str">
        <f>IFERROR(INDEX(Source_Filaire!$A$2:$M$104,Source_Filaire!$U94,COLUMNS(Source_Filaire!$R$2:R94)),"")</f>
        <v>SENNHEISER</v>
      </c>
      <c r="B109" s="8" t="str">
        <f>IFERROR(INDEX(Source_Filaire!$A$2:$M$104,Source_Filaire!$U94,COLUMNS(Source_Filaire!$R$2:S94)),"")</f>
        <v>SC 75</v>
      </c>
      <c r="C109" s="8" t="str">
        <f>IFERROR(INDEX(Source_Filaire!$A$2:$M$104,Source_Filaire!$U94,COLUMNS(Source_Filaire!$R$2:T94)),"")</f>
        <v>Filaire</v>
      </c>
      <c r="D109" s="8">
        <f>IFERROR(INDEX(Source_Filaire!$A$2:$M$104,Source_Filaire!$U94,COLUMNS(Source_Filaire!$R$2:U94)),"")</f>
        <v>507085</v>
      </c>
      <c r="E109" s="43">
        <f>IFERROR(INDEX(Source_Filaire!$A$2:$M$104,Source_Filaire!$U94,COLUMNS(Source_Filaire!$R$2:V94)),"")</f>
        <v>99</v>
      </c>
      <c r="F109" s="8" t="str">
        <f>IFERROR(INDEX(Source_Filaire!$A$2:$M$104,Source_Filaire!$U94,COLUMNS(Source_Filaire!$R$2:W94)),"")</f>
        <v>Bino</v>
      </c>
      <c r="G109" s="40">
        <f>IFERROR(INDEX(Source_Filaire!$A$2:$M$104,Source_Filaire!$U94,COLUMNS(Source_Filaire!$R$2:X94)),"")</f>
        <v>0</v>
      </c>
      <c r="H109" s="40" t="str">
        <f>IFERROR(INDEX(Source_Filaire!$A$2:$M$104,Source_Filaire!$U94,COLUMNS(Source_Filaire!$R$2:Y94)),"")</f>
        <v>Jack 3,5</v>
      </c>
      <c r="I109" s="40" t="str">
        <f>IFERROR(INDEX(Source_Filaire!$A$2:$M$104,Source_Filaire!$U94,COLUMNS(Source_Filaire!$R$2:Z94)),"")</f>
        <v>PC</v>
      </c>
      <c r="J109" s="40" t="str">
        <f>IFERROR(INDEX(Source_Filaire!$A$2:$M$104,Source_Filaire!$U94,COLUMNS(Source_Filaire!$R$2:AA94)),"")</f>
        <v>2 ans</v>
      </c>
      <c r="K109" s="40" t="str">
        <f>IFERROR(INDEX(Source_Filaire!$A$2:$M$104,Source_Filaire!$U94,COLUMNS(Source_Filaire!$R$2:AB94)),"")</f>
        <v>Non</v>
      </c>
      <c r="L109" s="40" t="str">
        <f>IFERROR(INDEX(Source_Filaire!$A$2:$M$104,Source_Filaire!$U94,COLUMNS(Source_Filaire!$R$2:AC94)),"")</f>
        <v>Serre-tête</v>
      </c>
      <c r="M109" s="40">
        <f>IFERROR(INDEX(Source_Filaire!$A$2:$M$104,Source_Filaire!$U94,COLUMNS(Source_Filaire!$R$2:AD94)),"")</f>
        <v>0</v>
      </c>
    </row>
    <row r="110" spans="1:13" x14ac:dyDescent="0.25">
      <c r="A110" s="8" t="str">
        <f>IFERROR(INDEX(Source_Filaire!$A$2:$M$104,Source_Filaire!$U95,COLUMNS(Source_Filaire!$R$2:R95)),"")</f>
        <v>SENNHEISER</v>
      </c>
      <c r="B110" s="8" t="str">
        <f>IFERROR(INDEX(Source_Filaire!$A$2:$M$104,Source_Filaire!$U95,COLUMNS(Source_Filaire!$R$2:S95)),"")</f>
        <v>SC 75 USB CTRL</v>
      </c>
      <c r="C110" s="8" t="str">
        <f>IFERROR(INDEX(Source_Filaire!$A$2:$M$104,Source_Filaire!$U95,COLUMNS(Source_Filaire!$R$2:T95)),"")</f>
        <v>Filaire</v>
      </c>
      <c r="D110" s="8">
        <f>IFERROR(INDEX(Source_Filaire!$A$2:$M$104,Source_Filaire!$U95,COLUMNS(Source_Filaire!$R$2:U95)),"")</f>
        <v>507087</v>
      </c>
      <c r="E110" s="43">
        <f>IFERROR(INDEX(Source_Filaire!$A$2:$M$104,Source_Filaire!$U95,COLUMNS(Source_Filaire!$R$2:V95)),"")</f>
        <v>99</v>
      </c>
      <c r="F110" s="8" t="str">
        <f>IFERROR(INDEX(Source_Filaire!$A$2:$M$104,Source_Filaire!$U95,COLUMNS(Source_Filaire!$R$2:W95)),"")</f>
        <v>Bino</v>
      </c>
      <c r="G110" s="40">
        <f>IFERROR(INDEX(Source_Filaire!$A$2:$M$104,Source_Filaire!$U95,COLUMNS(Source_Filaire!$R$2:X95)),"")</f>
        <v>0</v>
      </c>
      <c r="H110" s="40" t="str">
        <f>IFERROR(INDEX(Source_Filaire!$A$2:$M$104,Source_Filaire!$U95,COLUMNS(Source_Filaire!$R$2:Y95)),"")</f>
        <v>USB</v>
      </c>
      <c r="I110" s="40" t="str">
        <f>IFERROR(INDEX(Source_Filaire!$A$2:$M$104,Source_Filaire!$U95,COLUMNS(Source_Filaire!$R$2:Z95)),"")</f>
        <v>PC</v>
      </c>
      <c r="J110" s="40" t="str">
        <f>IFERROR(INDEX(Source_Filaire!$A$2:$M$104,Source_Filaire!$U95,COLUMNS(Source_Filaire!$R$2:AA95)),"")</f>
        <v>2 ans</v>
      </c>
      <c r="K110" s="40" t="str">
        <f>IFERROR(INDEX(Source_Filaire!$A$2:$M$104,Source_Filaire!$U95,COLUMNS(Source_Filaire!$R$2:AB95)),"")</f>
        <v>Non</v>
      </c>
      <c r="L110" s="40" t="str">
        <f>IFERROR(INDEX(Source_Filaire!$A$2:$M$104,Source_Filaire!$U95,COLUMNS(Source_Filaire!$R$2:AC95)),"")</f>
        <v>Serre-tête</v>
      </c>
      <c r="M110" s="40">
        <f>IFERROR(INDEX(Source_Filaire!$A$2:$M$104,Source_Filaire!$U95,COLUMNS(Source_Filaire!$R$2:AD95)),"")</f>
        <v>0</v>
      </c>
    </row>
    <row r="111" spans="1:13" x14ac:dyDescent="0.25">
      <c r="A111" s="8" t="str">
        <f>IFERROR(INDEX(Source_Filaire!$A$2:$M$104,Source_Filaire!$U96,COLUMNS(Source_Filaire!$R$2:R96)),"")</f>
        <v>SENNHEISER</v>
      </c>
      <c r="B111" s="8" t="str">
        <f>IFERROR(INDEX(Source_Filaire!$A$2:$M$104,Source_Filaire!$U96,COLUMNS(Source_Filaire!$R$2:S96)),"")</f>
        <v>SC 75 USB MS</v>
      </c>
      <c r="C111" s="8" t="str">
        <f>IFERROR(INDEX(Source_Filaire!$A$2:$M$104,Source_Filaire!$U96,COLUMNS(Source_Filaire!$R$2:T96)),"")</f>
        <v>Filaire</v>
      </c>
      <c r="D111" s="8">
        <f>IFERROR(INDEX(Source_Filaire!$A$2:$M$104,Source_Filaire!$U96,COLUMNS(Source_Filaire!$R$2:U96)),"")</f>
        <v>507086</v>
      </c>
      <c r="E111" s="43">
        <f>IFERROR(INDEX(Source_Filaire!$A$2:$M$104,Source_Filaire!$U96,COLUMNS(Source_Filaire!$R$2:V96)),"")</f>
        <v>99</v>
      </c>
      <c r="F111" s="8" t="str">
        <f>IFERROR(INDEX(Source_Filaire!$A$2:$M$104,Source_Filaire!$U96,COLUMNS(Source_Filaire!$R$2:W96)),"")</f>
        <v>Bino</v>
      </c>
      <c r="G111" s="40">
        <f>IFERROR(INDEX(Source_Filaire!$A$2:$M$104,Source_Filaire!$U96,COLUMNS(Source_Filaire!$R$2:X96)),"")</f>
        <v>0</v>
      </c>
      <c r="H111" s="40" t="str">
        <f>IFERROR(INDEX(Source_Filaire!$A$2:$M$104,Source_Filaire!$U96,COLUMNS(Source_Filaire!$R$2:Y96)),"")</f>
        <v>USB</v>
      </c>
      <c r="I111" s="40" t="str">
        <f>IFERROR(INDEX(Source_Filaire!$A$2:$M$104,Source_Filaire!$U96,COLUMNS(Source_Filaire!$R$2:Z96)),"")</f>
        <v>PC</v>
      </c>
      <c r="J111" s="40" t="str">
        <f>IFERROR(INDEX(Source_Filaire!$A$2:$M$104,Source_Filaire!$U96,COLUMNS(Source_Filaire!$R$2:AA96)),"")</f>
        <v>2 ans</v>
      </c>
      <c r="K111" s="40" t="str">
        <f>IFERROR(INDEX(Source_Filaire!$A$2:$M$104,Source_Filaire!$U96,COLUMNS(Source_Filaire!$R$2:AB96)),"")</f>
        <v>Oui</v>
      </c>
      <c r="L111" s="40" t="str">
        <f>IFERROR(INDEX(Source_Filaire!$A$2:$M$104,Source_Filaire!$U96,COLUMNS(Source_Filaire!$R$2:AC96)),"")</f>
        <v>Serre-tête</v>
      </c>
      <c r="M111" s="40">
        <f>IFERROR(INDEX(Source_Filaire!$A$2:$M$104,Source_Filaire!$U96,COLUMNS(Source_Filaire!$R$2:AD96)),"")</f>
        <v>0</v>
      </c>
    </row>
    <row r="112" spans="1:13" x14ac:dyDescent="0.25">
      <c r="A112" s="8" t="str">
        <f>IFERROR(INDEX(Source_Filaire!$A$2:$M$104,Source_Filaire!$U97,COLUMNS(Source_Filaire!$R$2:R97)),"")</f>
        <v>SENNHEISER</v>
      </c>
      <c r="B112" s="8" t="str">
        <f>IFERROR(INDEX(Source_Filaire!$A$2:$M$104,Source_Filaire!$U97,COLUMNS(Source_Filaire!$R$2:S97)),"")</f>
        <v>SC 30 USB CTRL</v>
      </c>
      <c r="C112" s="8" t="str">
        <f>IFERROR(INDEX(Source_Filaire!$A$2:$M$104,Source_Filaire!$U97,COLUMNS(Source_Filaire!$R$2:T97)),"")</f>
        <v>Filaire</v>
      </c>
      <c r="D112" s="8">
        <f>IFERROR(INDEX(Source_Filaire!$A$2:$M$104,Source_Filaire!$U97,COLUMNS(Source_Filaire!$R$2:U97)),"")</f>
        <v>504548</v>
      </c>
      <c r="E112" s="43">
        <f>IFERROR(INDEX(Source_Filaire!$A$2:$M$104,Source_Filaire!$U97,COLUMNS(Source_Filaire!$R$2:V97)),"")</f>
        <v>55</v>
      </c>
      <c r="F112" s="8" t="str">
        <f>IFERROR(INDEX(Source_Filaire!$A$2:$M$104,Source_Filaire!$U97,COLUMNS(Source_Filaire!$R$2:W97)),"")</f>
        <v>Mono</v>
      </c>
      <c r="G112" s="40" t="str">
        <f>IFERROR(INDEX(Source_Filaire!$A$2:$M$104,Source_Filaire!$U97,COLUMNS(Source_Filaire!$R$2:X97)),"")</f>
        <v>82g</v>
      </c>
      <c r="H112" s="40" t="str">
        <f>IFERROR(INDEX(Source_Filaire!$A$2:$M$104,Source_Filaire!$U97,COLUMNS(Source_Filaire!$R$2:Y97)),"")</f>
        <v>USB</v>
      </c>
      <c r="I112" s="40" t="str">
        <f>IFERROR(INDEX(Source_Filaire!$A$2:$M$104,Source_Filaire!$U97,COLUMNS(Source_Filaire!$R$2:Z97)),"")</f>
        <v>PC</v>
      </c>
      <c r="J112" s="40" t="str">
        <f>IFERROR(INDEX(Source_Filaire!$A$2:$M$104,Source_Filaire!$U97,COLUMNS(Source_Filaire!$R$2:AA97)),"")</f>
        <v>2 ans</v>
      </c>
      <c r="K112" s="40" t="str">
        <f>IFERROR(INDEX(Source_Filaire!$A$2:$M$104,Source_Filaire!$U97,COLUMNS(Source_Filaire!$R$2:AB97)),"")</f>
        <v>Non</v>
      </c>
      <c r="L112" s="40" t="str">
        <f>IFERROR(INDEX(Source_Filaire!$A$2:$M$104,Source_Filaire!$U97,COLUMNS(Source_Filaire!$R$2:AC97)),"")</f>
        <v>Serre-tête</v>
      </c>
      <c r="M112" s="40">
        <f>IFERROR(INDEX(Source_Filaire!$A$2:$M$104,Source_Filaire!$U97,COLUMNS(Source_Filaire!$R$2:AD97)),"")</f>
        <v>0</v>
      </c>
    </row>
    <row r="113" spans="1:13" x14ac:dyDescent="0.25">
      <c r="A113" s="8" t="str">
        <f>IFERROR(INDEX(Source_Filaire!$A$2:$M$104,Source_Filaire!$U98,COLUMNS(Source_Filaire!$R$2:R98)),"")</f>
        <v>SENNHEISER</v>
      </c>
      <c r="B113" s="8" t="str">
        <f>IFERROR(INDEX(Source_Filaire!$A$2:$M$104,Source_Filaire!$U98,COLUMNS(Source_Filaire!$R$2:S98)),"")</f>
        <v>SC 30 USB ML</v>
      </c>
      <c r="C113" s="8" t="str">
        <f>IFERROR(INDEX(Source_Filaire!$A$2:$M$104,Source_Filaire!$U98,COLUMNS(Source_Filaire!$R$2:T98)),"")</f>
        <v>Filaire</v>
      </c>
      <c r="D113" s="8">
        <f>IFERROR(INDEX(Source_Filaire!$A$2:$M$104,Source_Filaire!$U98,COLUMNS(Source_Filaire!$R$2:U98)),"")</f>
        <v>504546</v>
      </c>
      <c r="E113" s="43">
        <f>IFERROR(INDEX(Source_Filaire!$A$2:$M$104,Source_Filaire!$U98,COLUMNS(Source_Filaire!$R$2:V98)),"")</f>
        <v>55</v>
      </c>
      <c r="F113" s="8" t="str">
        <f>IFERROR(INDEX(Source_Filaire!$A$2:$M$104,Source_Filaire!$U98,COLUMNS(Source_Filaire!$R$2:W98)),"")</f>
        <v>Mono</v>
      </c>
      <c r="G113" s="40" t="str">
        <f>IFERROR(INDEX(Source_Filaire!$A$2:$M$104,Source_Filaire!$U98,COLUMNS(Source_Filaire!$R$2:X98)),"")</f>
        <v>82g</v>
      </c>
      <c r="H113" s="40" t="str">
        <f>IFERROR(INDEX(Source_Filaire!$A$2:$M$104,Source_Filaire!$U98,COLUMNS(Source_Filaire!$R$2:Y98)),"")</f>
        <v>USB</v>
      </c>
      <c r="I113" s="40" t="str">
        <f>IFERROR(INDEX(Source_Filaire!$A$2:$M$104,Source_Filaire!$U98,COLUMNS(Source_Filaire!$R$2:Z98)),"")</f>
        <v>PC</v>
      </c>
      <c r="J113" s="40" t="str">
        <f>IFERROR(INDEX(Source_Filaire!$A$2:$M$104,Source_Filaire!$U98,COLUMNS(Source_Filaire!$R$2:AA98)),"")</f>
        <v>2 ans</v>
      </c>
      <c r="K113" s="40" t="str">
        <f>IFERROR(INDEX(Source_Filaire!$A$2:$M$104,Source_Filaire!$U98,COLUMNS(Source_Filaire!$R$2:AB98)),"")</f>
        <v>Oui</v>
      </c>
      <c r="L113" s="40" t="str">
        <f>IFERROR(INDEX(Source_Filaire!$A$2:$M$104,Source_Filaire!$U98,COLUMNS(Source_Filaire!$R$2:AC98)),"")</f>
        <v>Serre-tête</v>
      </c>
      <c r="M113" s="40">
        <f>IFERROR(INDEX(Source_Filaire!$A$2:$M$104,Source_Filaire!$U98,COLUMNS(Source_Filaire!$R$2:AD98)),"")</f>
        <v>0</v>
      </c>
    </row>
    <row r="114" spans="1:13" x14ac:dyDescent="0.25">
      <c r="A114" s="8" t="str">
        <f>IFERROR(INDEX(Source_Filaire!$A$2:$M$104,Source_Filaire!$U99,COLUMNS(Source_Filaire!$R$2:R99)),"")</f>
        <v>SENNHEISER</v>
      </c>
      <c r="B114" s="8" t="str">
        <f>IFERROR(INDEX(Source_Filaire!$A$2:$M$104,Source_Filaire!$U99,COLUMNS(Source_Filaire!$R$2:S99)),"")</f>
        <v>SC 60 USB CTRL</v>
      </c>
      <c r="C114" s="8" t="str">
        <f>IFERROR(INDEX(Source_Filaire!$A$2:$M$104,Source_Filaire!$U99,COLUMNS(Source_Filaire!$R$2:T99)),"")</f>
        <v>Filaire</v>
      </c>
      <c r="D114" s="8">
        <f>IFERROR(INDEX(Source_Filaire!$A$2:$M$104,Source_Filaire!$U99,COLUMNS(Source_Filaire!$R$2:U99)),"")</f>
        <v>504549</v>
      </c>
      <c r="E114" s="43">
        <f>IFERROR(INDEX(Source_Filaire!$A$2:$M$104,Source_Filaire!$U99,COLUMNS(Source_Filaire!$R$2:V99)),"")</f>
        <v>65</v>
      </c>
      <c r="F114" s="8" t="str">
        <f>IFERROR(INDEX(Source_Filaire!$A$2:$M$104,Source_Filaire!$U99,COLUMNS(Source_Filaire!$R$2:W99)),"")</f>
        <v>Bino</v>
      </c>
      <c r="G114" s="40" t="str">
        <f>IFERROR(INDEX(Source_Filaire!$A$2:$M$104,Source_Filaire!$U99,COLUMNS(Source_Filaire!$R$2:X99)),"")</f>
        <v>106g</v>
      </c>
      <c r="H114" s="40" t="str">
        <f>IFERROR(INDEX(Source_Filaire!$A$2:$M$104,Source_Filaire!$U99,COLUMNS(Source_Filaire!$R$2:Y99)),"")</f>
        <v>USB</v>
      </c>
      <c r="I114" s="40" t="str">
        <f>IFERROR(INDEX(Source_Filaire!$A$2:$M$104,Source_Filaire!$U99,COLUMNS(Source_Filaire!$R$2:Z99)),"")</f>
        <v>PC</v>
      </c>
      <c r="J114" s="40" t="str">
        <f>IFERROR(INDEX(Source_Filaire!$A$2:$M$104,Source_Filaire!$U99,COLUMNS(Source_Filaire!$R$2:AA99)),"")</f>
        <v>2 ans</v>
      </c>
      <c r="K114" s="40" t="str">
        <f>IFERROR(INDEX(Source_Filaire!$A$2:$M$104,Source_Filaire!$U99,COLUMNS(Source_Filaire!$R$2:AB99)),"")</f>
        <v>Non</v>
      </c>
      <c r="L114" s="40" t="str">
        <f>IFERROR(INDEX(Source_Filaire!$A$2:$M$104,Source_Filaire!$U99,COLUMNS(Source_Filaire!$R$2:AC99)),"")</f>
        <v>Serre-tête</v>
      </c>
      <c r="M114" s="40">
        <f>IFERROR(INDEX(Source_Filaire!$A$2:$M$104,Source_Filaire!$U99,COLUMNS(Source_Filaire!$R$2:AD99)),"")</f>
        <v>0</v>
      </c>
    </row>
    <row r="115" spans="1:13" x14ac:dyDescent="0.25">
      <c r="A115" s="8" t="str">
        <f>IFERROR(INDEX(Source_Filaire!$A$2:$M$104,Source_Filaire!$U100,COLUMNS(Source_Filaire!$R$2:R100)),"")</f>
        <v>SENNHEISER</v>
      </c>
      <c r="B115" s="8" t="str">
        <f>IFERROR(INDEX(Source_Filaire!$A$2:$M$104,Source_Filaire!$U100,COLUMNS(Source_Filaire!$R$2:S100)),"")</f>
        <v>SC 60 USB ML</v>
      </c>
      <c r="C115" s="8" t="str">
        <f>IFERROR(INDEX(Source_Filaire!$A$2:$M$104,Source_Filaire!$U100,COLUMNS(Source_Filaire!$R$2:T100)),"")</f>
        <v>Filaire</v>
      </c>
      <c r="D115" s="8">
        <f>IFERROR(INDEX(Source_Filaire!$A$2:$M$104,Source_Filaire!$U100,COLUMNS(Source_Filaire!$R$2:U100)),"")</f>
        <v>504547</v>
      </c>
      <c r="E115" s="43">
        <f>IFERROR(INDEX(Source_Filaire!$A$2:$M$104,Source_Filaire!$U100,COLUMNS(Source_Filaire!$R$2:V100)),"")</f>
        <v>65</v>
      </c>
      <c r="F115" s="8" t="str">
        <f>IFERROR(INDEX(Source_Filaire!$A$2:$M$104,Source_Filaire!$U100,COLUMNS(Source_Filaire!$R$2:W100)),"")</f>
        <v>Bino</v>
      </c>
      <c r="G115" s="40" t="str">
        <f>IFERROR(INDEX(Source_Filaire!$A$2:$M$104,Source_Filaire!$U100,COLUMNS(Source_Filaire!$R$2:X100)),"")</f>
        <v>106g</v>
      </c>
      <c r="H115" s="40" t="str">
        <f>IFERROR(INDEX(Source_Filaire!$A$2:$M$104,Source_Filaire!$U100,COLUMNS(Source_Filaire!$R$2:Y100)),"")</f>
        <v>USB</v>
      </c>
      <c r="I115" s="40" t="str">
        <f>IFERROR(INDEX(Source_Filaire!$A$2:$M$104,Source_Filaire!$U100,COLUMNS(Source_Filaire!$R$2:Z100)),"")</f>
        <v>PC</v>
      </c>
      <c r="J115" s="40" t="str">
        <f>IFERROR(INDEX(Source_Filaire!$A$2:$M$104,Source_Filaire!$U100,COLUMNS(Source_Filaire!$R$2:AA100)),"")</f>
        <v>2 ans</v>
      </c>
      <c r="K115" s="40" t="str">
        <f>IFERROR(INDEX(Source_Filaire!$A$2:$M$104,Source_Filaire!$U100,COLUMNS(Source_Filaire!$R$2:AB100)),"")</f>
        <v>Oui</v>
      </c>
      <c r="L115" s="40" t="str">
        <f>IFERROR(INDEX(Source_Filaire!$A$2:$M$104,Source_Filaire!$U100,COLUMNS(Source_Filaire!$R$2:AC100)),"")</f>
        <v>Serre-tête</v>
      </c>
      <c r="M115" s="40">
        <f>IFERROR(INDEX(Source_Filaire!$A$2:$M$104,Source_Filaire!$U100,COLUMNS(Source_Filaire!$R$2:AD100)),"")</f>
        <v>0</v>
      </c>
    </row>
    <row r="116" spans="1:13" x14ac:dyDescent="0.25">
      <c r="A116" s="8" t="str">
        <f>IFERROR(INDEX(Source_Filaire!$A$2:$M$104,Source_Filaire!$U101,COLUMNS(Source_Filaire!$R$2:R101)),"")</f>
        <v>SENNHEISER</v>
      </c>
      <c r="B116" s="8" t="str">
        <f>IFERROR(INDEX(Source_Filaire!$A$2:$M$104,Source_Filaire!$U101,COLUMNS(Source_Filaire!$R$2:S101)),"")</f>
        <v>SP10</v>
      </c>
      <c r="C116" s="8" t="str">
        <f>IFERROR(INDEX(Source_Filaire!$A$2:$M$104,Source_Filaire!$U101,COLUMNS(Source_Filaire!$R$2:T101)),"")</f>
        <v>Filaire</v>
      </c>
      <c r="D116" s="8">
        <f>IFERROR(INDEX(Source_Filaire!$A$2:$M$104,Source_Filaire!$U101,COLUMNS(Source_Filaire!$R$2:U101)),"")</f>
        <v>506047</v>
      </c>
      <c r="E116" s="43">
        <f>IFERROR(INDEX(Source_Filaire!$A$2:$M$104,Source_Filaire!$U101,COLUMNS(Source_Filaire!$R$2:V101)),"")</f>
        <v>159</v>
      </c>
      <c r="F116" s="8" t="str">
        <f>IFERROR(INDEX(Source_Filaire!$A$2:$M$104,Source_Filaire!$U101,COLUMNS(Source_Filaire!$R$2:W101)),"")</f>
        <v>Speakerphone</v>
      </c>
      <c r="G116" s="40">
        <f>IFERROR(INDEX(Source_Filaire!$A$2:$M$104,Source_Filaire!$U101,COLUMNS(Source_Filaire!$R$2:X101)),"")</f>
        <v>0</v>
      </c>
      <c r="H116" s="40" t="str">
        <f>IFERROR(INDEX(Source_Filaire!$A$2:$M$104,Source_Filaire!$U101,COLUMNS(Source_Filaire!$R$2:Y101)),"")</f>
        <v>USB</v>
      </c>
      <c r="I116" s="40" t="str">
        <f>IFERROR(INDEX(Source_Filaire!$A$2:$M$104,Source_Filaire!$U101,COLUMNS(Source_Filaire!$R$2:Z101)),"")</f>
        <v xml:space="preserve">PC </v>
      </c>
      <c r="J116" s="40" t="str">
        <f>IFERROR(INDEX(Source_Filaire!$A$2:$M$104,Source_Filaire!$U101,COLUMNS(Source_Filaire!$R$2:AA101)),"")</f>
        <v>2 ans</v>
      </c>
      <c r="K116" s="40" t="str">
        <f>IFERROR(INDEX(Source_Filaire!$A$2:$M$104,Source_Filaire!$U101,COLUMNS(Source_Filaire!$R$2:AB101)),"")</f>
        <v>Non</v>
      </c>
      <c r="L116" s="40">
        <f>IFERROR(INDEX(Source_Filaire!$A$2:$M$104,Source_Filaire!$U101,COLUMNS(Source_Filaire!$R$2:AC101)),"")</f>
        <v>0</v>
      </c>
      <c r="M116" s="40">
        <f>IFERROR(INDEX(Source_Filaire!$A$2:$M$104,Source_Filaire!$U101,COLUMNS(Source_Filaire!$R$2:AD101)),"")</f>
        <v>0</v>
      </c>
    </row>
    <row r="117" spans="1:13" x14ac:dyDescent="0.25">
      <c r="A117" s="8" t="str">
        <f>IFERROR(INDEX(Source_Filaire!$A$2:$M$104,Source_Filaire!$U102,COLUMNS(Source_Filaire!$R$2:R102)),"")</f>
        <v>SENNHEISER</v>
      </c>
      <c r="B117" s="8" t="str">
        <f>IFERROR(INDEX(Source_Filaire!$A$2:$M$104,Source_Filaire!$U102,COLUMNS(Source_Filaire!$R$2:S102)),"")</f>
        <v>SP10 ML</v>
      </c>
      <c r="C117" s="8" t="str">
        <f>IFERROR(INDEX(Source_Filaire!$A$2:$M$104,Source_Filaire!$U102,COLUMNS(Source_Filaire!$R$2:T102)),"")</f>
        <v>Filaire</v>
      </c>
      <c r="D117" s="8">
        <f>IFERROR(INDEX(Source_Filaire!$A$2:$M$104,Source_Filaire!$U102,COLUMNS(Source_Filaire!$R$2:U102)),"")</f>
        <v>506048</v>
      </c>
      <c r="E117" s="43">
        <f>IFERROR(INDEX(Source_Filaire!$A$2:$M$104,Source_Filaire!$U102,COLUMNS(Source_Filaire!$R$2:V102)),"")</f>
        <v>159</v>
      </c>
      <c r="F117" s="8" t="str">
        <f>IFERROR(INDEX(Source_Filaire!$A$2:$M$104,Source_Filaire!$U102,COLUMNS(Source_Filaire!$R$2:W102)),"")</f>
        <v>Speakerphone</v>
      </c>
      <c r="G117" s="40">
        <f>IFERROR(INDEX(Source_Filaire!$A$2:$M$104,Source_Filaire!$U102,COLUMNS(Source_Filaire!$R$2:X102)),"")</f>
        <v>0</v>
      </c>
      <c r="H117" s="40" t="str">
        <f>IFERROR(INDEX(Source_Filaire!$A$2:$M$104,Source_Filaire!$U102,COLUMNS(Source_Filaire!$R$2:Y102)),"")</f>
        <v>USB</v>
      </c>
      <c r="I117" s="40" t="str">
        <f>IFERROR(INDEX(Source_Filaire!$A$2:$M$104,Source_Filaire!$U102,COLUMNS(Source_Filaire!$R$2:Z102)),"")</f>
        <v>PC</v>
      </c>
      <c r="J117" s="40" t="str">
        <f>IFERROR(INDEX(Source_Filaire!$A$2:$M$104,Source_Filaire!$U102,COLUMNS(Source_Filaire!$R$2:AA102)),"")</f>
        <v>2 ans</v>
      </c>
      <c r="K117" s="40" t="str">
        <f>IFERROR(INDEX(Source_Filaire!$A$2:$M$104,Source_Filaire!$U102,COLUMNS(Source_Filaire!$R$2:AB102)),"")</f>
        <v>Oui</v>
      </c>
      <c r="L117" s="40">
        <f>IFERROR(INDEX(Source_Filaire!$A$2:$M$104,Source_Filaire!$U102,COLUMNS(Source_Filaire!$R$2:AC102)),"")</f>
        <v>0</v>
      </c>
      <c r="M117" s="40">
        <f>IFERROR(INDEX(Source_Filaire!$A$2:$M$104,Source_Filaire!$U102,COLUMNS(Source_Filaire!$R$2:AD102)),"")</f>
        <v>0</v>
      </c>
    </row>
    <row r="118" spans="1:13" x14ac:dyDescent="0.25">
      <c r="A118" s="8" t="str">
        <f>IFERROR(INDEX(Source_Filaire!$A$2:$M$104,Source_Filaire!$U103,COLUMNS(Source_Filaire!$R$2:R103)),"")</f>
        <v>SENNHEISER</v>
      </c>
      <c r="B118" s="8" t="str">
        <f>IFERROR(INDEX(Source_Filaire!$A$2:$M$104,Source_Filaire!$U103,COLUMNS(Source_Filaire!$R$2:S103)),"")</f>
        <v>SP20</v>
      </c>
      <c r="C118" s="8" t="str">
        <f>IFERROR(INDEX(Source_Filaire!$A$2:$M$104,Source_Filaire!$U103,COLUMNS(Source_Filaire!$R$2:T103)),"")</f>
        <v>Filaire</v>
      </c>
      <c r="D118" s="8">
        <f>IFERROR(INDEX(Source_Filaire!$A$2:$M$104,Source_Filaire!$U103,COLUMNS(Source_Filaire!$R$2:U103)),"")</f>
        <v>506049</v>
      </c>
      <c r="E118" s="43">
        <f>IFERROR(INDEX(Source_Filaire!$A$2:$M$104,Source_Filaire!$U103,COLUMNS(Source_Filaire!$R$2:V103)),"")</f>
        <v>179</v>
      </c>
      <c r="F118" s="8" t="str">
        <f>IFERROR(INDEX(Source_Filaire!$A$2:$M$104,Source_Filaire!$U103,COLUMNS(Source_Filaire!$R$2:W103)),"")</f>
        <v>Speakerphone</v>
      </c>
      <c r="G118" s="40">
        <f>IFERROR(INDEX(Source_Filaire!$A$2:$M$104,Source_Filaire!$U103,COLUMNS(Source_Filaire!$R$2:X103)),"")</f>
        <v>0</v>
      </c>
      <c r="H118" s="40" t="str">
        <f>IFERROR(INDEX(Source_Filaire!$A$2:$M$104,Source_Filaire!$U103,COLUMNS(Source_Filaire!$R$2:Y103)),"")</f>
        <v>USB / jack 3,5</v>
      </c>
      <c r="I118" s="40" t="str">
        <f>IFERROR(INDEX(Source_Filaire!$A$2:$M$104,Source_Filaire!$U103,COLUMNS(Source_Filaire!$R$2:Z103)),"")</f>
        <v>PC / GSM</v>
      </c>
      <c r="J118" s="40" t="str">
        <f>IFERROR(INDEX(Source_Filaire!$A$2:$M$104,Source_Filaire!$U103,COLUMNS(Source_Filaire!$R$2:AA103)),"")</f>
        <v>2 ans</v>
      </c>
      <c r="K118" s="40" t="str">
        <f>IFERROR(INDEX(Source_Filaire!$A$2:$M$104,Source_Filaire!$U103,COLUMNS(Source_Filaire!$R$2:AB103)),"")</f>
        <v>Non</v>
      </c>
      <c r="L118" s="40">
        <f>IFERROR(INDEX(Source_Filaire!$A$2:$M$104,Source_Filaire!$U103,COLUMNS(Source_Filaire!$R$2:AC103)),"")</f>
        <v>0</v>
      </c>
      <c r="M118" s="40">
        <f>IFERROR(INDEX(Source_Filaire!$A$2:$M$104,Source_Filaire!$U103,COLUMNS(Source_Filaire!$R$2:AD103)),"")</f>
        <v>0</v>
      </c>
    </row>
    <row r="119" spans="1:13" x14ac:dyDescent="0.25">
      <c r="A119" s="8" t="str">
        <f>IFERROR(INDEX(Source_Filaire!$A$2:$M$104,Source_Filaire!$U104,COLUMNS(Source_Filaire!$R$2:R104)),"")</f>
        <v>SENNHEISER</v>
      </c>
      <c r="B119" s="8" t="str">
        <f>IFERROR(INDEX(Source_Filaire!$A$2:$M$104,Source_Filaire!$U104,COLUMNS(Source_Filaire!$R$2:S104)),"")</f>
        <v>SP20 ML</v>
      </c>
      <c r="C119" s="8" t="str">
        <f>IFERROR(INDEX(Source_Filaire!$A$2:$M$104,Source_Filaire!$U104,COLUMNS(Source_Filaire!$R$2:T104)),"")</f>
        <v>Filaire</v>
      </c>
      <c r="D119" s="8">
        <f>IFERROR(INDEX(Source_Filaire!$A$2:$M$104,Source_Filaire!$U104,COLUMNS(Source_Filaire!$R$2:U104)),"")</f>
        <v>506050</v>
      </c>
      <c r="E119" s="43">
        <f>IFERROR(INDEX(Source_Filaire!$A$2:$M$104,Source_Filaire!$U104,COLUMNS(Source_Filaire!$R$2:V104)),"")</f>
        <v>179</v>
      </c>
      <c r="F119" s="8" t="str">
        <f>IFERROR(INDEX(Source_Filaire!$A$2:$M$104,Source_Filaire!$U104,COLUMNS(Source_Filaire!$R$2:W104)),"")</f>
        <v>Speakerphone</v>
      </c>
      <c r="G119" s="40">
        <f>IFERROR(INDEX(Source_Filaire!$A$2:$M$104,Source_Filaire!$U104,COLUMNS(Source_Filaire!$R$2:X104)),"")</f>
        <v>0</v>
      </c>
      <c r="H119" s="40" t="str">
        <f>IFERROR(INDEX(Source_Filaire!$A$2:$M$104,Source_Filaire!$U104,COLUMNS(Source_Filaire!$R$2:Y104)),"")</f>
        <v>USB / jack 3,5</v>
      </c>
      <c r="I119" s="40" t="str">
        <f>IFERROR(INDEX(Source_Filaire!$A$2:$M$104,Source_Filaire!$U104,COLUMNS(Source_Filaire!$R$2:Z104)),"")</f>
        <v>PC / GSM</v>
      </c>
      <c r="J119" s="40" t="str">
        <f>IFERROR(INDEX(Source_Filaire!$A$2:$M$104,Source_Filaire!$U104,COLUMNS(Source_Filaire!$R$2:AA104)),"")</f>
        <v>2 ans</v>
      </c>
      <c r="K119" s="40" t="str">
        <f>IFERROR(INDEX(Source_Filaire!$A$2:$M$104,Source_Filaire!$U104,COLUMNS(Source_Filaire!$R$2:AB104)),"")</f>
        <v>Oui</v>
      </c>
      <c r="L119" s="40">
        <f>IFERROR(INDEX(Source_Filaire!$A$2:$M$104,Source_Filaire!$U104,COLUMNS(Source_Filaire!$R$2:AC104)),"")</f>
        <v>0</v>
      </c>
      <c r="M119" s="40">
        <f>IFERROR(INDEX(Source_Filaire!$A$2:$M$104,Source_Filaire!$U104,COLUMNS(Source_Filaire!$R$2:AD104)),"")</f>
        <v>0</v>
      </c>
    </row>
    <row r="120" spans="1:13" x14ac:dyDescent="0.25">
      <c r="A120" s="8" t="str">
        <f>IFERROR(INDEX(Source_Filaire!$A$2:$M$104,Source_Filaire!$U105,COLUMNS(Source_Filaire!$R$2:R105)),"")</f>
        <v/>
      </c>
      <c r="B120" s="8" t="str">
        <f>IFERROR(INDEX(Source_Filaire!$A$2:$M$104,Source_Filaire!$U105,COLUMNS(Source_Filaire!$R$2:S105)),"")</f>
        <v/>
      </c>
      <c r="C120" s="8" t="str">
        <f>IFERROR(INDEX(Source_Filaire!$A$2:$M$104,Source_Filaire!$U105,COLUMNS(Source_Filaire!$R$2:T105)),"")</f>
        <v/>
      </c>
      <c r="D120" s="8" t="str">
        <f>IFERROR(INDEX(Source_Filaire!$A$2:$M$104,Source_Filaire!$U105,COLUMNS(Source_Filaire!$R$2:U105)),"")</f>
        <v/>
      </c>
      <c r="E120" s="43" t="str">
        <f>IFERROR(INDEX(Source_Filaire!$A$2:$M$104,Source_Filaire!$U105,COLUMNS(Source_Filaire!$R$2:V105)),"")</f>
        <v/>
      </c>
      <c r="F120" s="8" t="str">
        <f>IFERROR(INDEX(Source_Filaire!$A$2:$M$104,Source_Filaire!$U105,COLUMNS(Source_Filaire!$R$2:W105)),"")</f>
        <v/>
      </c>
      <c r="G120" s="8" t="str">
        <f>IFERROR(INDEX(Source_Filaire!$A$2:$M$104,Source_Filaire!$U105,COLUMNS(Source_Filaire!$R$2:X105)),"")</f>
        <v/>
      </c>
      <c r="H120" s="8" t="str">
        <f>IFERROR(INDEX(Source_Filaire!$A$2:$M$104,Source_Filaire!$U105,COLUMNS(Source_Filaire!$R$2:Y105)),"")</f>
        <v/>
      </c>
      <c r="I120" s="8" t="str">
        <f>IFERROR(INDEX(Source_Filaire!$A$2:$M$104,Source_Filaire!$U105,COLUMNS(Source_Filaire!$R$2:Z105)),"")</f>
        <v/>
      </c>
      <c r="J120" s="8" t="str">
        <f>IFERROR(INDEX(Source_Filaire!$A$2:$M$104,Source_Filaire!$U105,COLUMNS(Source_Filaire!$R$2:AA105)),"")</f>
        <v/>
      </c>
      <c r="K120" s="8" t="str">
        <f>IFERROR(INDEX(Source_Filaire!$A$2:$M$104,Source_Filaire!$U105,COLUMNS(Source_Filaire!$R$2:AB105)),"")</f>
        <v/>
      </c>
      <c r="L120" s="8" t="str">
        <f>IFERROR(INDEX(Source_Filaire!$A$2:$M$104,Source_Filaire!$U105,COLUMNS(Source_Filaire!$R$2:AC105)),"")</f>
        <v/>
      </c>
      <c r="M120" s="8" t="str">
        <f>IFERROR(INDEX(Source_Filaire!$A$2:$M$104,Source_Filaire!$U105,COLUMNS(Source_Filaire!$R$2:AD105)),"")</f>
        <v/>
      </c>
    </row>
    <row r="121" spans="1:13" x14ac:dyDescent="0.25">
      <c r="A121" s="8" t="str">
        <f>IFERROR(INDEX(Source_Filaire!$A$2:$M$104,Source_Filaire!$U106,COLUMNS(Source_Filaire!$R$2:R106)),"")</f>
        <v/>
      </c>
      <c r="B121" s="8" t="str">
        <f>IFERROR(INDEX(Source_Filaire!$A$2:$M$104,Source_Filaire!$U106,COLUMNS(Source_Filaire!$R$2:S106)),"")</f>
        <v/>
      </c>
      <c r="C121" s="8" t="str">
        <f>IFERROR(INDEX(Source_Filaire!$A$2:$M$104,Source_Filaire!$U106,COLUMNS(Source_Filaire!$R$2:T106)),"")</f>
        <v/>
      </c>
      <c r="D121" s="8" t="str">
        <f>IFERROR(INDEX(Source_Filaire!$A$2:$M$104,Source_Filaire!$U106,COLUMNS(Source_Filaire!$R$2:U106)),"")</f>
        <v/>
      </c>
      <c r="E121" s="43" t="str">
        <f>IFERROR(INDEX(Source_Filaire!$A$2:$M$104,Source_Filaire!$U106,COLUMNS(Source_Filaire!$R$2:V106)),"")</f>
        <v/>
      </c>
      <c r="F121" s="8" t="str">
        <f>IFERROR(INDEX(Source_Filaire!$A$2:$M$104,Source_Filaire!$U106,COLUMNS(Source_Filaire!$R$2:W106)),"")</f>
        <v/>
      </c>
      <c r="G121" s="8" t="str">
        <f>IFERROR(INDEX(Source_Filaire!$A$2:$M$104,Source_Filaire!$U106,COLUMNS(Source_Filaire!$R$2:X106)),"")</f>
        <v/>
      </c>
      <c r="H121" s="8" t="str">
        <f>IFERROR(INDEX(Source_Filaire!$A$2:$M$104,Source_Filaire!$U106,COLUMNS(Source_Filaire!$R$2:Y106)),"")</f>
        <v/>
      </c>
      <c r="I121" s="8" t="str">
        <f>IFERROR(INDEX(Source_Filaire!$A$2:$M$104,Source_Filaire!$U106,COLUMNS(Source_Filaire!$R$2:Z106)),"")</f>
        <v/>
      </c>
      <c r="J121" s="8" t="str">
        <f>IFERROR(INDEX(Source_Filaire!$A$2:$M$104,Source_Filaire!$U106,COLUMNS(Source_Filaire!$R$2:AA106)),"")</f>
        <v/>
      </c>
      <c r="K121" s="8" t="str">
        <f>IFERROR(INDEX(Source_Filaire!$A$2:$M$104,Source_Filaire!$U106,COLUMNS(Source_Filaire!$R$2:AB106)),"")</f>
        <v/>
      </c>
      <c r="L121" s="8" t="str">
        <f>IFERROR(INDEX(Source_Filaire!$A$2:$M$104,Source_Filaire!$U106,COLUMNS(Source_Filaire!$R$2:AC106)),"")</f>
        <v/>
      </c>
      <c r="M121" s="8" t="str">
        <f>IFERROR(INDEX(Source_Filaire!$A$2:$M$104,Source_Filaire!$U106,COLUMNS(Source_Filaire!$R$2:AD106)),"")</f>
        <v/>
      </c>
    </row>
    <row r="122" spans="1:13" x14ac:dyDescent="0.25">
      <c r="A122" s="8" t="str">
        <f>IFERROR(INDEX(Source_Filaire!$A$2:$M$104,Source_Filaire!$U107,COLUMNS(Source_Filaire!$R$2:R107)),"")</f>
        <v/>
      </c>
      <c r="B122" s="8" t="str">
        <f>IFERROR(INDEX(Source_Filaire!$A$2:$M$104,Source_Filaire!$U107,COLUMNS(Source_Filaire!$R$2:S107)),"")</f>
        <v/>
      </c>
      <c r="C122" s="8" t="str">
        <f>IFERROR(INDEX(Source_Filaire!$A$2:$M$104,Source_Filaire!$U107,COLUMNS(Source_Filaire!$R$2:T107)),"")</f>
        <v/>
      </c>
      <c r="D122" s="8" t="str">
        <f>IFERROR(INDEX(Source_Filaire!$A$2:$M$104,Source_Filaire!$U107,COLUMNS(Source_Filaire!$R$2:U107)),"")</f>
        <v/>
      </c>
      <c r="E122" s="43" t="str">
        <f>IFERROR(INDEX(Source_Filaire!$A$2:$M$104,Source_Filaire!$U107,COLUMNS(Source_Filaire!$R$2:V107)),"")</f>
        <v/>
      </c>
      <c r="F122" s="8" t="str">
        <f>IFERROR(INDEX(Source_Filaire!$A$2:$M$104,Source_Filaire!$U107,COLUMNS(Source_Filaire!$R$2:W107)),"")</f>
        <v/>
      </c>
      <c r="G122" s="8" t="str">
        <f>IFERROR(INDEX(Source_Filaire!$A$2:$M$104,Source_Filaire!$U107,COLUMNS(Source_Filaire!$R$2:X107)),"")</f>
        <v/>
      </c>
      <c r="H122" s="8" t="str">
        <f>IFERROR(INDEX(Source_Filaire!$A$2:$M$104,Source_Filaire!$U107,COLUMNS(Source_Filaire!$R$2:Y107)),"")</f>
        <v/>
      </c>
      <c r="I122" s="8" t="str">
        <f>IFERROR(INDEX(Source_Filaire!$A$2:$M$104,Source_Filaire!$U107,COLUMNS(Source_Filaire!$R$2:Z107)),"")</f>
        <v/>
      </c>
      <c r="J122" s="8" t="str">
        <f>IFERROR(INDEX(Source_Filaire!$A$2:$M$104,Source_Filaire!$U107,COLUMNS(Source_Filaire!$R$2:AA107)),"")</f>
        <v/>
      </c>
      <c r="K122" s="8" t="str">
        <f>IFERROR(INDEX(Source_Filaire!$A$2:$M$104,Source_Filaire!$U107,COLUMNS(Source_Filaire!$R$2:AB107)),"")</f>
        <v/>
      </c>
      <c r="L122" s="8" t="str">
        <f>IFERROR(INDEX(Source_Filaire!$A$2:$M$104,Source_Filaire!$U107,COLUMNS(Source_Filaire!$R$2:AC107)),"")</f>
        <v/>
      </c>
      <c r="M122" s="8" t="str">
        <f>IFERROR(INDEX(Source_Filaire!$A$2:$M$104,Source_Filaire!$U107,COLUMNS(Source_Filaire!$R$2:AD107)),"")</f>
        <v/>
      </c>
    </row>
    <row r="123" spans="1:13" x14ac:dyDescent="0.25">
      <c r="A123" s="8" t="str">
        <f>IFERROR(INDEX(Source_Filaire!$A$2:$M$104,Source_Filaire!$U108,COLUMNS(Source_Filaire!$R$2:R108)),"")</f>
        <v/>
      </c>
      <c r="B123" s="8" t="str">
        <f>IFERROR(INDEX(Source_Filaire!$A$2:$M$104,Source_Filaire!$U108,COLUMNS(Source_Filaire!$R$2:S108)),"")</f>
        <v/>
      </c>
      <c r="C123" s="8" t="str">
        <f>IFERROR(INDEX(Source_Filaire!$A$2:$M$104,Source_Filaire!$U108,COLUMNS(Source_Filaire!$R$2:T108)),"")</f>
        <v/>
      </c>
      <c r="D123" s="8" t="str">
        <f>IFERROR(INDEX(Source_Filaire!$A$2:$M$104,Source_Filaire!$U108,COLUMNS(Source_Filaire!$R$2:U108)),"")</f>
        <v/>
      </c>
      <c r="E123" s="43" t="str">
        <f>IFERROR(INDEX(Source_Filaire!$A$2:$M$104,Source_Filaire!$U108,COLUMNS(Source_Filaire!$R$2:V108)),"")</f>
        <v/>
      </c>
      <c r="F123" s="8" t="str">
        <f>IFERROR(INDEX(Source_Filaire!$A$2:$M$104,Source_Filaire!$U108,COLUMNS(Source_Filaire!$R$2:W108)),"")</f>
        <v/>
      </c>
      <c r="G123" s="8" t="str">
        <f>IFERROR(INDEX(Source_Filaire!$A$2:$M$104,Source_Filaire!$U108,COLUMNS(Source_Filaire!$R$2:X108)),"")</f>
        <v/>
      </c>
      <c r="H123" s="8" t="str">
        <f>IFERROR(INDEX(Source_Filaire!$A$2:$M$104,Source_Filaire!$U108,COLUMNS(Source_Filaire!$R$2:Y108)),"")</f>
        <v/>
      </c>
      <c r="I123" s="8" t="str">
        <f>IFERROR(INDEX(Source_Filaire!$A$2:$M$104,Source_Filaire!$U108,COLUMNS(Source_Filaire!$R$2:Z108)),"")</f>
        <v/>
      </c>
      <c r="J123" s="8" t="str">
        <f>IFERROR(INDEX(Source_Filaire!$A$2:$M$104,Source_Filaire!$U108,COLUMNS(Source_Filaire!$R$2:AA108)),"")</f>
        <v/>
      </c>
      <c r="K123" s="8" t="str">
        <f>IFERROR(INDEX(Source_Filaire!$A$2:$M$104,Source_Filaire!$U108,COLUMNS(Source_Filaire!$R$2:AB108)),"")</f>
        <v/>
      </c>
      <c r="L123" s="8" t="str">
        <f>IFERROR(INDEX(Source_Filaire!$A$2:$M$104,Source_Filaire!$U108,COLUMNS(Source_Filaire!$R$2:AC108)),"")</f>
        <v/>
      </c>
      <c r="M123" s="8" t="str">
        <f>IFERROR(INDEX(Source_Filaire!$A$2:$M$104,Source_Filaire!$U108,COLUMNS(Source_Filaire!$R$2:AD108)),"")</f>
        <v/>
      </c>
    </row>
    <row r="124" spans="1:13" x14ac:dyDescent="0.25">
      <c r="A124" s="8" t="str">
        <f>IFERROR(INDEX(Source_Filaire!$A$2:$M$104,Source_Filaire!$U109,COLUMNS(Source_Filaire!$R$2:R109)),"")</f>
        <v/>
      </c>
      <c r="B124" s="8" t="str">
        <f>IFERROR(INDEX(Source_Filaire!$A$2:$M$104,Source_Filaire!$U109,COLUMNS(Source_Filaire!$R$2:S109)),"")</f>
        <v/>
      </c>
      <c r="C124" s="8" t="str">
        <f>IFERROR(INDEX(Source_Filaire!$A$2:$M$104,Source_Filaire!$U109,COLUMNS(Source_Filaire!$R$2:T109)),"")</f>
        <v/>
      </c>
      <c r="D124" s="8" t="str">
        <f>IFERROR(INDEX(Source_Filaire!$A$2:$M$104,Source_Filaire!$U109,COLUMNS(Source_Filaire!$R$2:U109)),"")</f>
        <v/>
      </c>
      <c r="E124" s="8" t="str">
        <f>IFERROR(INDEX(Source_Filaire!$A$2:$M$104,Source_Filaire!$U109,COLUMNS(Source_Filaire!$R$2:V109)),"")</f>
        <v/>
      </c>
      <c r="F124" s="8" t="str">
        <f>IFERROR(INDEX(Source_Filaire!$A$2:$M$104,Source_Filaire!$U109,COLUMNS(Source_Filaire!$R$2:W109)),"")</f>
        <v/>
      </c>
      <c r="G124" s="8" t="str">
        <f>IFERROR(INDEX(Source_Filaire!$A$2:$M$104,Source_Filaire!$U109,COLUMNS(Source_Filaire!$R$2:X109)),"")</f>
        <v/>
      </c>
      <c r="H124" s="8" t="str">
        <f>IFERROR(INDEX(Source_Filaire!$A$2:$M$104,Source_Filaire!$U109,COLUMNS(Source_Filaire!$R$2:Y109)),"")</f>
        <v/>
      </c>
      <c r="I124" s="8" t="str">
        <f>IFERROR(INDEX(Source_Filaire!$A$2:$M$104,Source_Filaire!$U109,COLUMNS(Source_Filaire!$R$2:Z109)),"")</f>
        <v/>
      </c>
      <c r="J124" s="8" t="str">
        <f>IFERROR(INDEX(Source_Filaire!$A$2:$M$104,Source_Filaire!$U109,COLUMNS(Source_Filaire!$R$2:AA109)),"")</f>
        <v/>
      </c>
      <c r="K124" s="8" t="str">
        <f>IFERROR(INDEX(Source_Filaire!$A$2:$M$104,Source_Filaire!$U109,COLUMNS(Source_Filaire!$R$2:AB109)),"")</f>
        <v/>
      </c>
      <c r="L124" s="8" t="str">
        <f>IFERROR(INDEX(Source_Filaire!$A$2:$M$104,Source_Filaire!$U109,COLUMNS(Source_Filaire!$R$2:AC109)),"")</f>
        <v/>
      </c>
      <c r="M124" s="8" t="str">
        <f>IFERROR(INDEX(Source_Filaire!$A$2:$M$104,Source_Filaire!$U109,COLUMNS(Source_Filaire!$R$2:AD109)),"")</f>
        <v/>
      </c>
    </row>
    <row r="125" spans="1:13" x14ac:dyDescent="0.25">
      <c r="A125" s="8" t="str">
        <f>IFERROR(INDEX(Source_Filaire!$A$2:$M$104,Source_Filaire!$U110,COLUMNS(Source_Filaire!$R$2:R110)),"")</f>
        <v/>
      </c>
      <c r="B125" s="8" t="str">
        <f>IFERROR(INDEX(Source_Filaire!$A$2:$M$104,Source_Filaire!$U110,COLUMNS(Source_Filaire!$R$2:S110)),"")</f>
        <v/>
      </c>
      <c r="C125" s="8" t="str">
        <f>IFERROR(INDEX(Source_Filaire!$A$2:$M$104,Source_Filaire!$U110,COLUMNS(Source_Filaire!$R$2:T110)),"")</f>
        <v/>
      </c>
      <c r="D125" s="8" t="str">
        <f>IFERROR(INDEX(Source_Filaire!$A$2:$M$104,Source_Filaire!$U110,COLUMNS(Source_Filaire!$R$2:U110)),"")</f>
        <v/>
      </c>
      <c r="E125" s="8" t="str">
        <f>IFERROR(INDEX(Source_Filaire!$A$2:$M$104,Source_Filaire!$U110,COLUMNS(Source_Filaire!$R$2:V110)),"")</f>
        <v/>
      </c>
      <c r="F125" s="8" t="str">
        <f>IFERROR(INDEX(Source_Filaire!$A$2:$M$104,Source_Filaire!$U110,COLUMNS(Source_Filaire!$R$2:W110)),"")</f>
        <v/>
      </c>
      <c r="G125" s="8" t="str">
        <f>IFERROR(INDEX(Source_Filaire!$A$2:$M$104,Source_Filaire!$U110,COLUMNS(Source_Filaire!$R$2:X110)),"")</f>
        <v/>
      </c>
      <c r="H125" s="8" t="str">
        <f>IFERROR(INDEX(Source_Filaire!$A$2:$M$104,Source_Filaire!$U110,COLUMNS(Source_Filaire!$R$2:Y110)),"")</f>
        <v/>
      </c>
      <c r="I125" s="8" t="str">
        <f>IFERROR(INDEX(Source_Filaire!$A$2:$M$104,Source_Filaire!$U110,COLUMNS(Source_Filaire!$R$2:Z110)),"")</f>
        <v/>
      </c>
      <c r="J125" s="8" t="str">
        <f>IFERROR(INDEX(Source_Filaire!$A$2:$M$104,Source_Filaire!$U110,COLUMNS(Source_Filaire!$R$2:AA110)),"")</f>
        <v/>
      </c>
      <c r="K125" s="8" t="str">
        <f>IFERROR(INDEX(Source_Filaire!$A$2:$M$104,Source_Filaire!$U110,COLUMNS(Source_Filaire!$R$2:AB110)),"")</f>
        <v/>
      </c>
      <c r="L125" s="8" t="str">
        <f>IFERROR(INDEX(Source_Filaire!$A$2:$M$104,Source_Filaire!$U110,COLUMNS(Source_Filaire!$R$2:AC110)),"")</f>
        <v/>
      </c>
      <c r="M125" s="8" t="str">
        <f>IFERROR(INDEX(Source_Filaire!$A$2:$M$104,Source_Filaire!$U110,COLUMNS(Source_Filaire!$R$2:AD110)),"")</f>
        <v/>
      </c>
    </row>
    <row r="126" spans="1:13" x14ac:dyDescent="0.25">
      <c r="A126" s="8" t="str">
        <f>IFERROR(INDEX(Source_Filaire!$A$2:$M$104,Source_Filaire!$U111,COLUMNS(Source_Filaire!$R$2:R111)),"")</f>
        <v/>
      </c>
      <c r="B126" s="8" t="str">
        <f>IFERROR(INDEX(Source_Filaire!$A$2:$M$104,Source_Filaire!$U111,COLUMNS(Source_Filaire!$R$2:S111)),"")</f>
        <v/>
      </c>
      <c r="C126" s="8" t="str">
        <f>IFERROR(INDEX(Source_Filaire!$A$2:$M$104,Source_Filaire!$U111,COLUMNS(Source_Filaire!$R$2:T111)),"")</f>
        <v/>
      </c>
      <c r="D126" s="8" t="str">
        <f>IFERROR(INDEX(Source_Filaire!$A$2:$M$104,Source_Filaire!$U111,COLUMNS(Source_Filaire!$R$2:U111)),"")</f>
        <v/>
      </c>
      <c r="E126" s="8" t="str">
        <f>IFERROR(INDEX(Source_Filaire!$A$2:$M$104,Source_Filaire!$U111,COLUMNS(Source_Filaire!$R$2:V111)),"")</f>
        <v/>
      </c>
      <c r="F126" s="8" t="str">
        <f>IFERROR(INDEX(Source_Filaire!$A$2:$M$104,Source_Filaire!$U111,COLUMNS(Source_Filaire!$R$2:W111)),"")</f>
        <v/>
      </c>
      <c r="G126" s="8" t="str">
        <f>IFERROR(INDEX(Source_Filaire!$A$2:$M$104,Source_Filaire!$U111,COLUMNS(Source_Filaire!$R$2:X111)),"")</f>
        <v/>
      </c>
      <c r="H126" s="8" t="str">
        <f>IFERROR(INDEX(Source_Filaire!$A$2:$M$104,Source_Filaire!$U111,COLUMNS(Source_Filaire!$R$2:Y111)),"")</f>
        <v/>
      </c>
      <c r="I126" s="8" t="str">
        <f>IFERROR(INDEX(Source_Filaire!$A$2:$M$104,Source_Filaire!$U111,COLUMNS(Source_Filaire!$R$2:Z111)),"")</f>
        <v/>
      </c>
      <c r="J126" s="8" t="str">
        <f>IFERROR(INDEX(Source_Filaire!$A$2:$M$104,Source_Filaire!$U111,COLUMNS(Source_Filaire!$R$2:AA111)),"")</f>
        <v/>
      </c>
      <c r="K126" s="8" t="str">
        <f>IFERROR(INDEX(Source_Filaire!$A$2:$M$104,Source_Filaire!$U111,COLUMNS(Source_Filaire!$R$2:AB111)),"")</f>
        <v/>
      </c>
      <c r="L126" s="8" t="str">
        <f>IFERROR(INDEX(Source_Filaire!$A$2:$M$104,Source_Filaire!$U111,COLUMNS(Source_Filaire!$R$2:AC111)),"")</f>
        <v/>
      </c>
      <c r="M126" s="8" t="str">
        <f>IFERROR(INDEX(Source_Filaire!$A$2:$M$104,Source_Filaire!$U111,COLUMNS(Source_Filaire!$R$2:AD111)),"")</f>
        <v/>
      </c>
    </row>
    <row r="127" spans="1:13" x14ac:dyDescent="0.25">
      <c r="A127" s="8" t="str">
        <f>IFERROR(INDEX(Source_Filaire!$A$2:$M$100,Source_Filaire!$U112,COLUMNS(Source_Filaire!$R$2:R112)),"")</f>
        <v/>
      </c>
      <c r="B127" s="8" t="str">
        <f>IFERROR(INDEX(Source_Filaire!$A$2:$M$100,Source_Filaire!$U112,COLUMNS(Source_Filaire!$R$2:S112)),"")</f>
        <v/>
      </c>
      <c r="C127" s="8" t="str">
        <f>IFERROR(INDEX(Source_Filaire!$A$2:$M$100,Source_Filaire!$U112,COLUMNS(Source_Filaire!$R$2:T112)),"")</f>
        <v/>
      </c>
      <c r="D127" s="8" t="str">
        <f>IFERROR(INDEX(Source_Filaire!$A$2:$M$100,Source_Filaire!$U112,COLUMNS(Source_Filaire!$R$2:U112)),"")</f>
        <v/>
      </c>
      <c r="E127" s="8" t="str">
        <f>IFERROR(INDEX(Source_Filaire!$A$2:$M$100,Source_Filaire!$U112,COLUMNS(Source_Filaire!$R$2:V112)),"")</f>
        <v/>
      </c>
      <c r="F127" s="8" t="str">
        <f>IFERROR(INDEX(Source_Filaire!$A$2:$M$100,Source_Filaire!$U112,COLUMNS(Source_Filaire!$R$2:W112)),"")</f>
        <v/>
      </c>
      <c r="G127" s="8" t="str">
        <f>IFERROR(INDEX(Source_Filaire!$A$2:$M$100,Source_Filaire!$U112,COLUMNS(Source_Filaire!$R$2:X112)),"")</f>
        <v/>
      </c>
      <c r="H127" s="8" t="str">
        <f>IFERROR(INDEX(Source_Filaire!$A$2:$M$100,Source_Filaire!$U112,COLUMNS(Source_Filaire!$R$2:Y112)),"")</f>
        <v/>
      </c>
      <c r="I127" s="8" t="str">
        <f>IFERROR(INDEX(Source_Filaire!$A$2:$M$100,Source_Filaire!$U112,COLUMNS(Source_Filaire!$R$2:Z112)),"")</f>
        <v/>
      </c>
      <c r="J127" s="8" t="str">
        <f>IFERROR(INDEX(Source_Filaire!$A$2:$M$100,Source_Filaire!$U112,COLUMNS(Source_Filaire!$R$2:AA112)),"")</f>
        <v/>
      </c>
      <c r="K127" s="8" t="str">
        <f>IFERROR(INDEX(Source_Filaire!$A$2:$M$100,Source_Filaire!$U112,COLUMNS(Source_Filaire!$R$2:AB112)),"")</f>
        <v/>
      </c>
      <c r="L127" s="8" t="str">
        <f>IFERROR(INDEX(Source_Filaire!$A$2:$M$100,Source_Filaire!$U112,COLUMNS(Source_Filaire!$R$2:AC112)),"")</f>
        <v/>
      </c>
      <c r="M127" s="8" t="str">
        <f>IFERROR(INDEX(Source_Filaire!$A$2:$M$100,Source_Filaire!$U112,COLUMNS(Source_Filaire!$R$2:AD112)),"")</f>
        <v/>
      </c>
    </row>
    <row r="128" spans="1:13" x14ac:dyDescent="0.25">
      <c r="A128" s="8" t="str">
        <f>IFERROR(INDEX(Source_Filaire!$A$2:$M$100,Source_Filaire!$U113,COLUMNS(Source_Filaire!$R$2:R113)),"")</f>
        <v/>
      </c>
      <c r="B128" s="8" t="str">
        <f>IFERROR(INDEX(Source_Filaire!$A$2:$M$100,Source_Filaire!$U113,COLUMNS(Source_Filaire!$R$2:S113)),"")</f>
        <v/>
      </c>
      <c r="C128" s="8" t="str">
        <f>IFERROR(INDEX(Source_Filaire!$A$2:$M$100,Source_Filaire!$U113,COLUMNS(Source_Filaire!$R$2:T113)),"")</f>
        <v/>
      </c>
      <c r="D128" s="8" t="str">
        <f>IFERROR(INDEX(Source_Filaire!$A$2:$M$100,Source_Filaire!$U113,COLUMNS(Source_Filaire!$R$2:U113)),"")</f>
        <v/>
      </c>
      <c r="E128" s="8" t="str">
        <f>IFERROR(INDEX(Source_Filaire!$A$2:$M$100,Source_Filaire!$U113,COLUMNS(Source_Filaire!$R$2:V113)),"")</f>
        <v/>
      </c>
      <c r="F128" s="8" t="str">
        <f>IFERROR(INDEX(Source_Filaire!$A$2:$M$100,Source_Filaire!$U113,COLUMNS(Source_Filaire!$R$2:W113)),"")</f>
        <v/>
      </c>
      <c r="G128" s="8" t="str">
        <f>IFERROR(INDEX(Source_Filaire!$A$2:$M$100,Source_Filaire!$U113,COLUMNS(Source_Filaire!$R$2:X113)),"")</f>
        <v/>
      </c>
      <c r="H128" s="8" t="str">
        <f>IFERROR(INDEX(Source_Filaire!$A$2:$M$100,Source_Filaire!$U113,COLUMNS(Source_Filaire!$R$2:Y113)),"")</f>
        <v/>
      </c>
      <c r="I128" s="8" t="str">
        <f>IFERROR(INDEX(Source_Filaire!$A$2:$M$100,Source_Filaire!$U113,COLUMNS(Source_Filaire!$R$2:Z113)),"")</f>
        <v/>
      </c>
      <c r="J128" s="8" t="str">
        <f>IFERROR(INDEX(Source_Filaire!$A$2:$M$100,Source_Filaire!$U113,COLUMNS(Source_Filaire!$R$2:AA113)),"")</f>
        <v/>
      </c>
      <c r="K128" s="8" t="str">
        <f>IFERROR(INDEX(Source_Filaire!$A$2:$M$100,Source_Filaire!$U113,COLUMNS(Source_Filaire!$R$2:AB113)),"")</f>
        <v/>
      </c>
      <c r="L128" s="8" t="str">
        <f>IFERROR(INDEX(Source_Filaire!$A$2:$M$100,Source_Filaire!$U113,COLUMNS(Source_Filaire!$R$2:AC113)),"")</f>
        <v/>
      </c>
      <c r="M128" s="8" t="str">
        <f>IFERROR(INDEX(Source_Filaire!$A$2:$M$100,Source_Filaire!$U113,COLUMNS(Source_Filaire!$R$2:AD113)),"")</f>
        <v/>
      </c>
    </row>
    <row r="129" spans="1:13" x14ac:dyDescent="0.25">
      <c r="A129" s="8" t="str">
        <f>IFERROR(INDEX(Source_Filaire!$A$2:$M$100,Source_Filaire!$U114,COLUMNS(Source_Filaire!$R$2:R114)),"")</f>
        <v/>
      </c>
      <c r="B129" s="8" t="str">
        <f>IFERROR(INDEX(Source_Filaire!$A$2:$M$100,Source_Filaire!$U114,COLUMNS(Source_Filaire!$R$2:S114)),"")</f>
        <v/>
      </c>
      <c r="C129" s="8" t="str">
        <f>IFERROR(INDEX(Source_Filaire!$A$2:$M$100,Source_Filaire!$U114,COLUMNS(Source_Filaire!$R$2:T114)),"")</f>
        <v/>
      </c>
      <c r="D129" s="8" t="str">
        <f>IFERROR(INDEX(Source_Filaire!$A$2:$M$100,Source_Filaire!$U114,COLUMNS(Source_Filaire!$R$2:U114)),"")</f>
        <v/>
      </c>
      <c r="E129" s="8" t="str">
        <f>IFERROR(INDEX(Source_Filaire!$A$2:$M$100,Source_Filaire!$U114,COLUMNS(Source_Filaire!$R$2:V114)),"")</f>
        <v/>
      </c>
      <c r="F129" s="8" t="str">
        <f>IFERROR(INDEX(Source_Filaire!$A$2:$M$100,Source_Filaire!$U114,COLUMNS(Source_Filaire!$R$2:W114)),"")</f>
        <v/>
      </c>
      <c r="G129" s="8" t="str">
        <f>IFERROR(INDEX(Source_Filaire!$A$2:$M$100,Source_Filaire!$U114,COLUMNS(Source_Filaire!$R$2:X114)),"")</f>
        <v/>
      </c>
      <c r="H129" s="8" t="str">
        <f>IFERROR(INDEX(Source_Filaire!$A$2:$M$100,Source_Filaire!$U114,COLUMNS(Source_Filaire!$R$2:Y114)),"")</f>
        <v/>
      </c>
      <c r="I129" s="8" t="str">
        <f>IFERROR(INDEX(Source_Filaire!$A$2:$M$100,Source_Filaire!$U114,COLUMNS(Source_Filaire!$R$2:Z114)),"")</f>
        <v/>
      </c>
      <c r="J129" s="8" t="str">
        <f>IFERROR(INDEX(Source_Filaire!$A$2:$M$100,Source_Filaire!$U114,COLUMNS(Source_Filaire!$R$2:AA114)),"")</f>
        <v/>
      </c>
      <c r="K129" s="8" t="str">
        <f>IFERROR(INDEX(Source_Filaire!$A$2:$M$100,Source_Filaire!$U114,COLUMNS(Source_Filaire!$R$2:AB114)),"")</f>
        <v/>
      </c>
      <c r="L129" s="8" t="str">
        <f>IFERROR(INDEX(Source_Filaire!$A$2:$M$100,Source_Filaire!$U114,COLUMNS(Source_Filaire!$R$2:AC114)),"")</f>
        <v/>
      </c>
      <c r="M129" s="8" t="str">
        <f>IFERROR(INDEX(Source_Filaire!$A$2:$M$100,Source_Filaire!$U114,COLUMNS(Source_Filaire!$R$2:AD114)),"")</f>
        <v/>
      </c>
    </row>
    <row r="130" spans="1:13" x14ac:dyDescent="0.25">
      <c r="A130" s="8" t="str">
        <f>IFERROR(INDEX(Source_Filaire!$A$2:$M$100,Source_Filaire!$U115,COLUMNS(Source_Filaire!$R$2:R115)),"")</f>
        <v/>
      </c>
      <c r="B130" s="8" t="str">
        <f>IFERROR(INDEX(Source_Filaire!$A$2:$M$100,Source_Filaire!$U115,COLUMNS(Source_Filaire!$R$2:S115)),"")</f>
        <v/>
      </c>
      <c r="C130" s="8" t="str">
        <f>IFERROR(INDEX(Source_Filaire!$A$2:$M$100,Source_Filaire!$U115,COLUMNS(Source_Filaire!$R$2:T115)),"")</f>
        <v/>
      </c>
      <c r="D130" s="8" t="str">
        <f>IFERROR(INDEX(Source_Filaire!$A$2:$M$100,Source_Filaire!$U115,COLUMNS(Source_Filaire!$R$2:U115)),"")</f>
        <v/>
      </c>
      <c r="E130" s="8" t="str">
        <f>IFERROR(INDEX(Source_Filaire!$A$2:$M$100,Source_Filaire!$U115,COLUMNS(Source_Filaire!$R$2:V115)),"")</f>
        <v/>
      </c>
      <c r="F130" s="8" t="str">
        <f>IFERROR(INDEX(Source_Filaire!$A$2:$M$100,Source_Filaire!$U115,COLUMNS(Source_Filaire!$R$2:W115)),"")</f>
        <v/>
      </c>
      <c r="G130" s="8" t="str">
        <f>IFERROR(INDEX(Source_Filaire!$A$2:$M$100,Source_Filaire!$U115,COLUMNS(Source_Filaire!$R$2:X115)),"")</f>
        <v/>
      </c>
      <c r="H130" s="8" t="str">
        <f>IFERROR(INDEX(Source_Filaire!$A$2:$M$100,Source_Filaire!$U115,COLUMNS(Source_Filaire!$R$2:Y115)),"")</f>
        <v/>
      </c>
      <c r="I130" s="8" t="str">
        <f>IFERROR(INDEX(Source_Filaire!$A$2:$M$100,Source_Filaire!$U115,COLUMNS(Source_Filaire!$R$2:Z115)),"")</f>
        <v/>
      </c>
      <c r="J130" s="8" t="str">
        <f>IFERROR(INDEX(Source_Filaire!$A$2:$M$100,Source_Filaire!$U115,COLUMNS(Source_Filaire!$R$2:AA115)),"")</f>
        <v/>
      </c>
      <c r="K130" s="8" t="str">
        <f>IFERROR(INDEX(Source_Filaire!$A$2:$M$100,Source_Filaire!$U115,COLUMNS(Source_Filaire!$R$2:AB115)),"")</f>
        <v/>
      </c>
      <c r="L130" s="8" t="str">
        <f>IFERROR(INDEX(Source_Filaire!$A$2:$M$100,Source_Filaire!$U115,COLUMNS(Source_Filaire!$R$2:AC115)),"")</f>
        <v/>
      </c>
      <c r="M130" s="8" t="str">
        <f>IFERROR(INDEX(Source_Filaire!$A$2:$M$100,Source_Filaire!$U115,COLUMNS(Source_Filaire!$R$2:AD115)),"")</f>
        <v/>
      </c>
    </row>
    <row r="131" spans="1:13" x14ac:dyDescent="0.25">
      <c r="A131" s="8" t="str">
        <f>IFERROR(INDEX(Source_Filaire!$A$2:$M$100,Source_Filaire!$U116,COLUMNS(Source_Filaire!$R$2:R116)),"")</f>
        <v/>
      </c>
      <c r="B131" s="8" t="str">
        <f>IFERROR(INDEX(Source_Filaire!$A$2:$M$100,Source_Filaire!$U116,COLUMNS(Source_Filaire!$R$2:S116)),"")</f>
        <v/>
      </c>
      <c r="C131" s="8" t="str">
        <f>IFERROR(INDEX(Source_Filaire!$A$2:$M$100,Source_Filaire!$U116,COLUMNS(Source_Filaire!$R$2:T116)),"")</f>
        <v/>
      </c>
      <c r="D131" s="8" t="str">
        <f>IFERROR(INDEX(Source_Filaire!$A$2:$M$100,Source_Filaire!$U116,COLUMNS(Source_Filaire!$R$2:U116)),"")</f>
        <v/>
      </c>
      <c r="E131" s="8" t="str">
        <f>IFERROR(INDEX(Source_Filaire!$A$2:$M$100,Source_Filaire!$U116,COLUMNS(Source_Filaire!$R$2:V116)),"")</f>
        <v/>
      </c>
      <c r="F131" s="8" t="str">
        <f>IFERROR(INDEX(Source_Filaire!$A$2:$M$100,Source_Filaire!$U116,COLUMNS(Source_Filaire!$R$2:W116)),"")</f>
        <v/>
      </c>
      <c r="G131" s="8" t="str">
        <f>IFERROR(INDEX(Source_Filaire!$A$2:$M$100,Source_Filaire!$U116,COLUMNS(Source_Filaire!$R$2:X116)),"")</f>
        <v/>
      </c>
      <c r="H131" s="8" t="str">
        <f>IFERROR(INDEX(Source_Filaire!$A$2:$M$100,Source_Filaire!$U116,COLUMNS(Source_Filaire!$R$2:Y116)),"")</f>
        <v/>
      </c>
      <c r="I131" s="8" t="str">
        <f>IFERROR(INDEX(Source_Filaire!$A$2:$M$100,Source_Filaire!$U116,COLUMNS(Source_Filaire!$R$2:Z116)),"")</f>
        <v/>
      </c>
      <c r="J131" s="8" t="str">
        <f>IFERROR(INDEX(Source_Filaire!$A$2:$M$100,Source_Filaire!$U116,COLUMNS(Source_Filaire!$R$2:AA116)),"")</f>
        <v/>
      </c>
      <c r="K131" s="8" t="str">
        <f>IFERROR(INDEX(Source_Filaire!$A$2:$M$100,Source_Filaire!$U116,COLUMNS(Source_Filaire!$R$2:AB116)),"")</f>
        <v/>
      </c>
      <c r="L131" s="8" t="str">
        <f>IFERROR(INDEX(Source_Filaire!$A$2:$M$100,Source_Filaire!$U116,COLUMNS(Source_Filaire!$R$2:AC116)),"")</f>
        <v/>
      </c>
      <c r="M131" s="8" t="str">
        <f>IFERROR(INDEX(Source_Filaire!$A$2:$M$100,Source_Filaire!$U116,COLUMNS(Source_Filaire!$R$2:AD116)),"")</f>
        <v/>
      </c>
    </row>
    <row r="132" spans="1:13" x14ac:dyDescent="0.25">
      <c r="A132" s="8" t="str">
        <f>IFERROR(INDEX(Source_Filaire!$A$2:$M$100,Source_Filaire!$U117,COLUMNS(Source_Filaire!$R$2:R117)),"")</f>
        <v/>
      </c>
      <c r="B132" s="8" t="str">
        <f>IFERROR(INDEX(Source_Filaire!$A$2:$M$100,Source_Filaire!$U117,COLUMNS(Source_Filaire!$R$2:S117)),"")</f>
        <v/>
      </c>
      <c r="C132" s="8" t="str">
        <f>IFERROR(INDEX(Source_Filaire!$A$2:$M$100,Source_Filaire!$U117,COLUMNS(Source_Filaire!$R$2:T117)),"")</f>
        <v/>
      </c>
      <c r="D132" s="8" t="str">
        <f>IFERROR(INDEX(Source_Filaire!$A$2:$M$100,Source_Filaire!$U117,COLUMNS(Source_Filaire!$R$2:U117)),"")</f>
        <v/>
      </c>
      <c r="E132" s="8" t="str">
        <f>IFERROR(INDEX(Source_Filaire!$A$2:$M$100,Source_Filaire!$U117,COLUMNS(Source_Filaire!$R$2:V117)),"")</f>
        <v/>
      </c>
      <c r="F132" s="8" t="str">
        <f>IFERROR(INDEX(Source_Filaire!$A$2:$M$100,Source_Filaire!$U117,COLUMNS(Source_Filaire!$R$2:W117)),"")</f>
        <v/>
      </c>
      <c r="G132" s="8" t="str">
        <f>IFERROR(INDEX(Source_Filaire!$A$2:$M$100,Source_Filaire!$U117,COLUMNS(Source_Filaire!$R$2:X117)),"")</f>
        <v/>
      </c>
      <c r="H132" s="8" t="str">
        <f>IFERROR(INDEX(Source_Filaire!$A$2:$M$100,Source_Filaire!$U117,COLUMNS(Source_Filaire!$R$2:Y117)),"")</f>
        <v/>
      </c>
      <c r="I132" s="8" t="str">
        <f>IFERROR(INDEX(Source_Filaire!$A$2:$M$100,Source_Filaire!$U117,COLUMNS(Source_Filaire!$R$2:Z117)),"")</f>
        <v/>
      </c>
      <c r="J132" s="8" t="str">
        <f>IFERROR(INDEX(Source_Filaire!$A$2:$M$100,Source_Filaire!$U117,COLUMNS(Source_Filaire!$R$2:AA117)),"")</f>
        <v/>
      </c>
      <c r="K132" s="8" t="str">
        <f>IFERROR(INDEX(Source_Filaire!$A$2:$M$100,Source_Filaire!$U117,COLUMNS(Source_Filaire!$R$2:AB117)),"")</f>
        <v/>
      </c>
      <c r="L132" s="8" t="str">
        <f>IFERROR(INDEX(Source_Filaire!$A$2:$M$100,Source_Filaire!$U117,COLUMNS(Source_Filaire!$R$2:AC117)),"")</f>
        <v/>
      </c>
      <c r="M132" s="8" t="str">
        <f>IFERROR(INDEX(Source_Filaire!$A$2:$M$100,Source_Filaire!$U117,COLUMNS(Source_Filaire!$R$2:AD117)),"")</f>
        <v/>
      </c>
    </row>
    <row r="133" spans="1:13" x14ac:dyDescent="0.25">
      <c r="A133" s="8" t="str">
        <f>IFERROR(INDEX(Source_Filaire!$A$2:$M$100,Source_Filaire!$U118,COLUMNS(Source_Filaire!$R$2:R118)),"")</f>
        <v/>
      </c>
      <c r="B133" s="8" t="str">
        <f>IFERROR(INDEX(Source_Filaire!$A$2:$M$100,Source_Filaire!$U118,COLUMNS(Source_Filaire!$R$2:S118)),"")</f>
        <v/>
      </c>
      <c r="C133" s="8" t="str">
        <f>IFERROR(INDEX(Source_Filaire!$A$2:$M$100,Source_Filaire!$U118,COLUMNS(Source_Filaire!$R$2:T118)),"")</f>
        <v/>
      </c>
      <c r="D133" s="8" t="str">
        <f>IFERROR(INDEX(Source_Filaire!$A$2:$M$100,Source_Filaire!$U118,COLUMNS(Source_Filaire!$R$2:U118)),"")</f>
        <v/>
      </c>
      <c r="E133" s="8" t="str">
        <f>IFERROR(INDEX(Source_Filaire!$A$2:$M$100,Source_Filaire!$U118,COLUMNS(Source_Filaire!$R$2:V118)),"")</f>
        <v/>
      </c>
      <c r="F133" s="8" t="str">
        <f>IFERROR(INDEX(Source_Filaire!$A$2:$M$100,Source_Filaire!$U118,COLUMNS(Source_Filaire!$R$2:W118)),"")</f>
        <v/>
      </c>
      <c r="G133" s="8" t="str">
        <f>IFERROR(INDEX(Source_Filaire!$A$2:$M$100,Source_Filaire!$U118,COLUMNS(Source_Filaire!$R$2:X118)),"")</f>
        <v/>
      </c>
      <c r="H133" s="8" t="str">
        <f>IFERROR(INDEX(Source_Filaire!$A$2:$M$100,Source_Filaire!$U118,COLUMNS(Source_Filaire!$R$2:Y118)),"")</f>
        <v/>
      </c>
      <c r="I133" s="8" t="str">
        <f>IFERROR(INDEX(Source_Filaire!$A$2:$M$100,Source_Filaire!$U118,COLUMNS(Source_Filaire!$R$2:Z118)),"")</f>
        <v/>
      </c>
      <c r="J133" s="8" t="str">
        <f>IFERROR(INDEX(Source_Filaire!$A$2:$M$100,Source_Filaire!$U118,COLUMNS(Source_Filaire!$R$2:AA118)),"")</f>
        <v/>
      </c>
      <c r="K133" s="8" t="str">
        <f>IFERROR(INDEX(Source_Filaire!$A$2:$M$100,Source_Filaire!$U118,COLUMNS(Source_Filaire!$R$2:AB118)),"")</f>
        <v/>
      </c>
      <c r="L133" s="8" t="str">
        <f>IFERROR(INDEX(Source_Filaire!$A$2:$M$100,Source_Filaire!$U118,COLUMNS(Source_Filaire!$R$2:AC118)),"")</f>
        <v/>
      </c>
      <c r="M133" s="8" t="str">
        <f>IFERROR(INDEX(Source_Filaire!$A$2:$M$100,Source_Filaire!$U118,COLUMNS(Source_Filaire!$R$2:AD118)),"")</f>
        <v/>
      </c>
    </row>
    <row r="134" spans="1:13" x14ac:dyDescent="0.25">
      <c r="A134" s="8" t="str">
        <f>IFERROR(INDEX(Source_Filaire!$A$2:$M$100,Source_Filaire!$U119,COLUMNS(Source_Filaire!$R$2:R119)),"")</f>
        <v/>
      </c>
      <c r="B134" s="8" t="str">
        <f>IFERROR(INDEX(Source_Filaire!$A$2:$M$100,Source_Filaire!$U119,COLUMNS(Source_Filaire!$R$2:S119)),"")</f>
        <v/>
      </c>
      <c r="C134" s="8" t="str">
        <f>IFERROR(INDEX(Source_Filaire!$A$2:$M$100,Source_Filaire!$U119,COLUMNS(Source_Filaire!$R$2:T119)),"")</f>
        <v/>
      </c>
      <c r="D134" s="8" t="str">
        <f>IFERROR(INDEX(Source_Filaire!$A$2:$M$100,Source_Filaire!$U119,COLUMNS(Source_Filaire!$R$2:U119)),"")</f>
        <v/>
      </c>
      <c r="E134" s="8" t="str">
        <f>IFERROR(INDEX(Source_Filaire!$A$2:$M$100,Source_Filaire!$U119,COLUMNS(Source_Filaire!$R$2:V119)),"")</f>
        <v/>
      </c>
      <c r="F134" s="8" t="str">
        <f>IFERROR(INDEX(Source_Filaire!$A$2:$M$100,Source_Filaire!$U119,COLUMNS(Source_Filaire!$R$2:W119)),"")</f>
        <v/>
      </c>
      <c r="G134" s="8" t="str">
        <f>IFERROR(INDEX(Source_Filaire!$A$2:$M$100,Source_Filaire!$U119,COLUMNS(Source_Filaire!$R$2:X119)),"")</f>
        <v/>
      </c>
      <c r="H134" s="8" t="str">
        <f>IFERROR(INDEX(Source_Filaire!$A$2:$M$100,Source_Filaire!$U119,COLUMNS(Source_Filaire!$R$2:Y119)),"")</f>
        <v/>
      </c>
      <c r="I134" s="8" t="str">
        <f>IFERROR(INDEX(Source_Filaire!$A$2:$M$100,Source_Filaire!$U119,COLUMNS(Source_Filaire!$R$2:Z119)),"")</f>
        <v/>
      </c>
      <c r="J134" s="8" t="str">
        <f>IFERROR(INDEX(Source_Filaire!$A$2:$M$100,Source_Filaire!$U119,COLUMNS(Source_Filaire!$R$2:AA119)),"")</f>
        <v/>
      </c>
      <c r="K134" s="8" t="str">
        <f>IFERROR(INDEX(Source_Filaire!$A$2:$M$100,Source_Filaire!$U119,COLUMNS(Source_Filaire!$R$2:AB119)),"")</f>
        <v/>
      </c>
      <c r="L134" s="8" t="str">
        <f>IFERROR(INDEX(Source_Filaire!$A$2:$M$100,Source_Filaire!$U119,COLUMNS(Source_Filaire!$R$2:AC119)),"")</f>
        <v/>
      </c>
      <c r="M134" s="8" t="str">
        <f>IFERROR(INDEX(Source_Filaire!$A$2:$M$100,Source_Filaire!$U119,COLUMNS(Source_Filaire!$R$2:AD119)),"")</f>
        <v/>
      </c>
    </row>
    <row r="135" spans="1:13" x14ac:dyDescent="0.25">
      <c r="A135" s="8" t="str">
        <f>IFERROR(INDEX(Source_Filaire!$A$2:$M$100,Source_Filaire!$U120,COLUMNS(Source_Filaire!$R$2:R120)),"")</f>
        <v/>
      </c>
      <c r="B135" s="8" t="str">
        <f>IFERROR(INDEX(Source_Filaire!$A$2:$M$100,Source_Filaire!$U120,COLUMNS(Source_Filaire!$R$2:S120)),"")</f>
        <v/>
      </c>
      <c r="C135" s="8" t="str">
        <f>IFERROR(INDEX(Source_Filaire!$A$2:$M$100,Source_Filaire!$U120,COLUMNS(Source_Filaire!$R$2:T120)),"")</f>
        <v/>
      </c>
      <c r="D135" s="8" t="str">
        <f>IFERROR(INDEX(Source_Filaire!$A$2:$M$100,Source_Filaire!$U120,COLUMNS(Source_Filaire!$R$2:U120)),"")</f>
        <v/>
      </c>
      <c r="E135" s="8" t="str">
        <f>IFERROR(INDEX(Source_Filaire!$A$2:$M$100,Source_Filaire!$U120,COLUMNS(Source_Filaire!$R$2:V120)),"")</f>
        <v/>
      </c>
      <c r="F135" s="8" t="str">
        <f>IFERROR(INDEX(Source_Filaire!$A$2:$M$100,Source_Filaire!$U120,COLUMNS(Source_Filaire!$R$2:W120)),"")</f>
        <v/>
      </c>
      <c r="G135" s="8" t="str">
        <f>IFERROR(INDEX(Source_Filaire!$A$2:$M$100,Source_Filaire!$U120,COLUMNS(Source_Filaire!$R$2:X120)),"")</f>
        <v/>
      </c>
      <c r="H135" s="8" t="str">
        <f>IFERROR(INDEX(Source_Filaire!$A$2:$M$100,Source_Filaire!$U120,COLUMNS(Source_Filaire!$R$2:Y120)),"")</f>
        <v/>
      </c>
      <c r="I135" s="8" t="str">
        <f>IFERROR(INDEX(Source_Filaire!$A$2:$M$100,Source_Filaire!$U120,COLUMNS(Source_Filaire!$R$2:Z120)),"")</f>
        <v/>
      </c>
      <c r="J135" s="8" t="str">
        <f>IFERROR(INDEX(Source_Filaire!$A$2:$M$100,Source_Filaire!$U120,COLUMNS(Source_Filaire!$R$2:AA120)),"")</f>
        <v/>
      </c>
      <c r="K135" s="8" t="str">
        <f>IFERROR(INDEX(Source_Filaire!$A$2:$M$100,Source_Filaire!$U120,COLUMNS(Source_Filaire!$R$2:AB120)),"")</f>
        <v/>
      </c>
      <c r="L135" s="8" t="str">
        <f>IFERROR(INDEX(Source_Filaire!$A$2:$M$100,Source_Filaire!$U120,COLUMNS(Source_Filaire!$R$2:AC120)),"")</f>
        <v/>
      </c>
      <c r="M135" s="8" t="str">
        <f>IFERROR(INDEX(Source_Filaire!$A$2:$M$100,Source_Filaire!$U120,COLUMNS(Source_Filaire!$R$2:AD120)),"")</f>
        <v/>
      </c>
    </row>
    <row r="136" spans="1:13" x14ac:dyDescent="0.25">
      <c r="A136" s="8" t="str">
        <f>IFERROR(INDEX(Source_Filaire!$A$2:$M$100,Source_Filaire!$U121,COLUMNS(Source_Filaire!$R$2:R121)),"")</f>
        <v/>
      </c>
      <c r="B136" s="8" t="str">
        <f>IFERROR(INDEX(Source_Filaire!$A$2:$M$100,Source_Filaire!$U121,COLUMNS(Source_Filaire!$R$2:S121)),"")</f>
        <v/>
      </c>
      <c r="C136" s="8" t="str">
        <f>IFERROR(INDEX(Source_Filaire!$A$2:$M$100,Source_Filaire!$U121,COLUMNS(Source_Filaire!$R$2:T121)),"")</f>
        <v/>
      </c>
      <c r="D136" s="8" t="str">
        <f>IFERROR(INDEX(Source_Filaire!$A$2:$M$100,Source_Filaire!$U121,COLUMNS(Source_Filaire!$R$2:U121)),"")</f>
        <v/>
      </c>
      <c r="E136" s="8" t="str">
        <f>IFERROR(INDEX(Source_Filaire!$A$2:$M$100,Source_Filaire!$U121,COLUMNS(Source_Filaire!$R$2:V121)),"")</f>
        <v/>
      </c>
      <c r="F136" s="8" t="str">
        <f>IFERROR(INDEX(Source_Filaire!$A$2:$M$100,Source_Filaire!$U121,COLUMNS(Source_Filaire!$R$2:W121)),"")</f>
        <v/>
      </c>
      <c r="G136" s="8" t="str">
        <f>IFERROR(INDEX(Source_Filaire!$A$2:$M$100,Source_Filaire!$U121,COLUMNS(Source_Filaire!$R$2:X121)),"")</f>
        <v/>
      </c>
      <c r="H136" s="8" t="str">
        <f>IFERROR(INDEX(Source_Filaire!$A$2:$M$100,Source_Filaire!$U121,COLUMNS(Source_Filaire!$R$2:Y121)),"")</f>
        <v/>
      </c>
      <c r="I136" s="8" t="str">
        <f>IFERROR(INDEX(Source_Filaire!$A$2:$M$100,Source_Filaire!$U121,COLUMNS(Source_Filaire!$R$2:Z121)),"")</f>
        <v/>
      </c>
      <c r="J136" s="8" t="str">
        <f>IFERROR(INDEX(Source_Filaire!$A$2:$M$100,Source_Filaire!$U121,COLUMNS(Source_Filaire!$R$2:AA121)),"")</f>
        <v/>
      </c>
      <c r="K136" s="8" t="str">
        <f>IFERROR(INDEX(Source_Filaire!$A$2:$M$100,Source_Filaire!$U121,COLUMNS(Source_Filaire!$R$2:AB121)),"")</f>
        <v/>
      </c>
      <c r="L136" s="8" t="str">
        <f>IFERROR(INDEX(Source_Filaire!$A$2:$M$100,Source_Filaire!$U121,COLUMNS(Source_Filaire!$R$2:AC121)),"")</f>
        <v/>
      </c>
      <c r="M136" s="8" t="str">
        <f>IFERROR(INDEX(Source_Filaire!$A$2:$M$100,Source_Filaire!$U121,COLUMNS(Source_Filaire!$R$2:AD121)),"")</f>
        <v/>
      </c>
    </row>
    <row r="137" spans="1:13" x14ac:dyDescent="0.25">
      <c r="A137" s="8" t="str">
        <f>IFERROR(INDEX(Source_Filaire!$A$2:$M$100,Source_Filaire!$U122,COLUMNS(Source_Filaire!$R$2:R122)),"")</f>
        <v/>
      </c>
      <c r="B137" s="8" t="str">
        <f>IFERROR(INDEX(Source_Filaire!$A$2:$M$100,Source_Filaire!$U122,COLUMNS(Source_Filaire!$R$2:S122)),"")</f>
        <v/>
      </c>
      <c r="C137" s="8" t="str">
        <f>IFERROR(INDEX(Source_Filaire!$A$2:$M$100,Source_Filaire!$U122,COLUMNS(Source_Filaire!$R$2:T122)),"")</f>
        <v/>
      </c>
      <c r="D137" s="8" t="str">
        <f>IFERROR(INDEX(Source_Filaire!$A$2:$M$100,Source_Filaire!$U122,COLUMNS(Source_Filaire!$R$2:U122)),"")</f>
        <v/>
      </c>
      <c r="E137" s="8" t="str">
        <f>IFERROR(INDEX(Source_Filaire!$A$2:$M$100,Source_Filaire!$U122,COLUMNS(Source_Filaire!$R$2:V122)),"")</f>
        <v/>
      </c>
      <c r="F137" s="8" t="str">
        <f>IFERROR(INDEX(Source_Filaire!$A$2:$M$100,Source_Filaire!$U122,COLUMNS(Source_Filaire!$R$2:W122)),"")</f>
        <v/>
      </c>
      <c r="G137" s="8" t="str">
        <f>IFERROR(INDEX(Source_Filaire!$A$2:$M$100,Source_Filaire!$U122,COLUMNS(Source_Filaire!$R$2:X122)),"")</f>
        <v/>
      </c>
      <c r="H137" s="8" t="str">
        <f>IFERROR(INDEX(Source_Filaire!$A$2:$M$100,Source_Filaire!$U122,COLUMNS(Source_Filaire!$R$2:Y122)),"")</f>
        <v/>
      </c>
      <c r="I137" s="8" t="str">
        <f>IFERROR(INDEX(Source_Filaire!$A$2:$M$100,Source_Filaire!$U122,COLUMNS(Source_Filaire!$R$2:Z122)),"")</f>
        <v/>
      </c>
      <c r="J137" s="8" t="str">
        <f>IFERROR(INDEX(Source_Filaire!$A$2:$M$100,Source_Filaire!$U122,COLUMNS(Source_Filaire!$R$2:AA122)),"")</f>
        <v/>
      </c>
      <c r="K137" s="8" t="str">
        <f>IFERROR(INDEX(Source_Filaire!$A$2:$M$100,Source_Filaire!$U122,COLUMNS(Source_Filaire!$R$2:AB122)),"")</f>
        <v/>
      </c>
      <c r="L137" s="8" t="str">
        <f>IFERROR(INDEX(Source_Filaire!$A$2:$M$100,Source_Filaire!$U122,COLUMNS(Source_Filaire!$R$2:AC122)),"")</f>
        <v/>
      </c>
      <c r="M137" s="8" t="str">
        <f>IFERROR(INDEX(Source_Filaire!$A$2:$M$100,Source_Filaire!$U122,COLUMNS(Source_Filaire!$R$2:AD122)),"")</f>
        <v/>
      </c>
    </row>
    <row r="138" spans="1:13" x14ac:dyDescent="0.25">
      <c r="A138" s="8" t="str">
        <f>IFERROR(INDEX(Source_Filaire!$A$2:$M$100,Source_Filaire!$U123,COLUMNS(Source_Filaire!$R$2:R123)),"")</f>
        <v/>
      </c>
      <c r="B138" s="8" t="str">
        <f>IFERROR(INDEX(Source_Filaire!$A$2:$M$100,Source_Filaire!$U123,COLUMNS(Source_Filaire!$R$2:S123)),"")</f>
        <v/>
      </c>
      <c r="C138" s="8" t="str">
        <f>IFERROR(INDEX(Source_Filaire!$A$2:$M$100,Source_Filaire!$U123,COLUMNS(Source_Filaire!$R$2:T123)),"")</f>
        <v/>
      </c>
      <c r="D138" s="8" t="str">
        <f>IFERROR(INDEX(Source_Filaire!$A$2:$M$100,Source_Filaire!$U123,COLUMNS(Source_Filaire!$R$2:U123)),"")</f>
        <v/>
      </c>
      <c r="E138" s="8" t="str">
        <f>IFERROR(INDEX(Source_Filaire!$A$2:$M$100,Source_Filaire!$U123,COLUMNS(Source_Filaire!$R$2:V123)),"")</f>
        <v/>
      </c>
      <c r="F138" s="8" t="str">
        <f>IFERROR(INDEX(Source_Filaire!$A$2:$M$100,Source_Filaire!$U123,COLUMNS(Source_Filaire!$R$2:W123)),"")</f>
        <v/>
      </c>
      <c r="G138" s="8" t="str">
        <f>IFERROR(INDEX(Source_Filaire!$A$2:$M$100,Source_Filaire!$U123,COLUMNS(Source_Filaire!$R$2:X123)),"")</f>
        <v/>
      </c>
      <c r="H138" s="8" t="str">
        <f>IFERROR(INDEX(Source_Filaire!$A$2:$M$100,Source_Filaire!$U123,COLUMNS(Source_Filaire!$R$2:Y123)),"")</f>
        <v/>
      </c>
      <c r="I138" s="8" t="str">
        <f>IFERROR(INDEX(Source_Filaire!$A$2:$M$100,Source_Filaire!$U123,COLUMNS(Source_Filaire!$R$2:Z123)),"")</f>
        <v/>
      </c>
      <c r="J138" s="8" t="str">
        <f>IFERROR(INDEX(Source_Filaire!$A$2:$M$100,Source_Filaire!$U123,COLUMNS(Source_Filaire!$R$2:AA123)),"")</f>
        <v/>
      </c>
      <c r="K138" s="8" t="str">
        <f>IFERROR(INDEX(Source_Filaire!$A$2:$M$100,Source_Filaire!$U123,COLUMNS(Source_Filaire!$R$2:AB123)),"")</f>
        <v/>
      </c>
      <c r="L138" s="8" t="str">
        <f>IFERROR(INDEX(Source_Filaire!$A$2:$M$100,Source_Filaire!$U123,COLUMNS(Source_Filaire!$R$2:AC123)),"")</f>
        <v/>
      </c>
      <c r="M138" s="8" t="str">
        <f>IFERROR(INDEX(Source_Filaire!$A$2:$M$100,Source_Filaire!$U123,COLUMNS(Source_Filaire!$R$2:AD123)),"")</f>
        <v/>
      </c>
    </row>
    <row r="139" spans="1:13" x14ac:dyDescent="0.25">
      <c r="A139" s="8" t="str">
        <f>IFERROR(INDEX(Source_Filaire!$A$2:$M$100,Source_Filaire!$U124,COLUMNS(Source_Filaire!$R$2:R124)),"")</f>
        <v/>
      </c>
      <c r="B139" s="8" t="str">
        <f>IFERROR(INDEX(Source_Filaire!$A$2:$M$100,Source_Filaire!$U124,COLUMNS(Source_Filaire!$R$2:S124)),"")</f>
        <v/>
      </c>
      <c r="C139" s="8" t="str">
        <f>IFERROR(INDEX(Source_Filaire!$A$2:$M$100,Source_Filaire!$U124,COLUMNS(Source_Filaire!$R$2:T124)),"")</f>
        <v/>
      </c>
      <c r="D139" s="8" t="str">
        <f>IFERROR(INDEX(Source_Filaire!$A$2:$M$100,Source_Filaire!$U124,COLUMNS(Source_Filaire!$R$2:U124)),"")</f>
        <v/>
      </c>
      <c r="E139" s="8" t="str">
        <f>IFERROR(INDEX(Source_Filaire!$A$2:$M$100,Source_Filaire!$U124,COLUMNS(Source_Filaire!$R$2:V124)),"")</f>
        <v/>
      </c>
      <c r="F139" s="8" t="str">
        <f>IFERROR(INDEX(Source_Filaire!$A$2:$M$100,Source_Filaire!$U124,COLUMNS(Source_Filaire!$R$2:W124)),"")</f>
        <v/>
      </c>
      <c r="G139" s="8" t="str">
        <f>IFERROR(INDEX(Source_Filaire!$A$2:$M$100,Source_Filaire!$U124,COLUMNS(Source_Filaire!$R$2:X124)),"")</f>
        <v/>
      </c>
      <c r="H139" s="8" t="str">
        <f>IFERROR(INDEX(Source_Filaire!$A$2:$M$100,Source_Filaire!$U124,COLUMNS(Source_Filaire!$R$2:Y124)),"")</f>
        <v/>
      </c>
      <c r="I139" s="8" t="str">
        <f>IFERROR(INDEX(Source_Filaire!$A$2:$M$100,Source_Filaire!$U124,COLUMNS(Source_Filaire!$R$2:Z124)),"")</f>
        <v/>
      </c>
      <c r="J139" s="8" t="str">
        <f>IFERROR(INDEX(Source_Filaire!$A$2:$M$100,Source_Filaire!$U124,COLUMNS(Source_Filaire!$R$2:AA124)),"")</f>
        <v/>
      </c>
      <c r="K139" s="8" t="str">
        <f>IFERROR(INDEX(Source_Filaire!$A$2:$M$100,Source_Filaire!$U124,COLUMNS(Source_Filaire!$R$2:AB124)),"")</f>
        <v/>
      </c>
      <c r="L139" s="8" t="str">
        <f>IFERROR(INDEX(Source_Filaire!$A$2:$M$100,Source_Filaire!$U124,COLUMNS(Source_Filaire!$R$2:AC124)),"")</f>
        <v/>
      </c>
      <c r="M139" s="8" t="str">
        <f>IFERROR(INDEX(Source_Filaire!$A$2:$M$100,Source_Filaire!$U124,COLUMNS(Source_Filaire!$R$2:AD124)),"")</f>
        <v/>
      </c>
    </row>
    <row r="140" spans="1:13" x14ac:dyDescent="0.25">
      <c r="A140" s="8" t="str">
        <f>IFERROR(INDEX(Source_Filaire!$A$2:$M$100,Source_Filaire!$U125,COLUMNS(Source_Filaire!$R$2:R125)),"")</f>
        <v/>
      </c>
      <c r="B140" s="8" t="str">
        <f>IFERROR(INDEX(Source_Filaire!$A$2:$M$100,Source_Filaire!$U125,COLUMNS(Source_Filaire!$R$2:S125)),"")</f>
        <v/>
      </c>
      <c r="C140" s="8" t="str">
        <f>IFERROR(INDEX(Source_Filaire!$A$2:$M$100,Source_Filaire!$U125,COLUMNS(Source_Filaire!$R$2:T125)),"")</f>
        <v/>
      </c>
      <c r="D140" s="8" t="str">
        <f>IFERROR(INDEX(Source_Filaire!$A$2:$M$100,Source_Filaire!$U125,COLUMNS(Source_Filaire!$R$2:U125)),"")</f>
        <v/>
      </c>
      <c r="E140" s="8" t="str">
        <f>IFERROR(INDEX(Source_Filaire!$A$2:$M$100,Source_Filaire!$U125,COLUMNS(Source_Filaire!$R$2:V125)),"")</f>
        <v/>
      </c>
      <c r="F140" s="8" t="str">
        <f>IFERROR(INDEX(Source_Filaire!$A$2:$M$100,Source_Filaire!$U125,COLUMNS(Source_Filaire!$R$2:W125)),"")</f>
        <v/>
      </c>
      <c r="G140" s="8" t="str">
        <f>IFERROR(INDEX(Source_Filaire!$A$2:$M$100,Source_Filaire!$U125,COLUMNS(Source_Filaire!$R$2:X125)),"")</f>
        <v/>
      </c>
      <c r="H140" s="8" t="str">
        <f>IFERROR(INDEX(Source_Filaire!$A$2:$M$100,Source_Filaire!$U125,COLUMNS(Source_Filaire!$R$2:Y125)),"")</f>
        <v/>
      </c>
      <c r="I140" s="8" t="str">
        <f>IFERROR(INDEX(Source_Filaire!$A$2:$M$100,Source_Filaire!$U125,COLUMNS(Source_Filaire!$R$2:Z125)),"")</f>
        <v/>
      </c>
      <c r="J140" s="8" t="str">
        <f>IFERROR(INDEX(Source_Filaire!$A$2:$M$100,Source_Filaire!$U125,COLUMNS(Source_Filaire!$R$2:AA125)),"")</f>
        <v/>
      </c>
      <c r="K140" s="8" t="str">
        <f>IFERROR(INDEX(Source_Filaire!$A$2:$M$100,Source_Filaire!$U125,COLUMNS(Source_Filaire!$R$2:AB125)),"")</f>
        <v/>
      </c>
      <c r="L140" s="8" t="str">
        <f>IFERROR(INDEX(Source_Filaire!$A$2:$M$100,Source_Filaire!$U125,COLUMNS(Source_Filaire!$R$2:AC125)),"")</f>
        <v/>
      </c>
      <c r="M140" s="8" t="str">
        <f>IFERROR(INDEX(Source_Filaire!$A$2:$M$100,Source_Filaire!$U125,COLUMNS(Source_Filaire!$R$2:AD125)),"")</f>
        <v/>
      </c>
    </row>
    <row r="141" spans="1:13" x14ac:dyDescent="0.25">
      <c r="A141" s="8" t="str">
        <f>IFERROR(INDEX(Source_Filaire!$A$2:$M$100,Source_Filaire!$U126,COLUMNS(Source_Filaire!$R$2:R126)),"")</f>
        <v/>
      </c>
      <c r="B141" s="8" t="str">
        <f>IFERROR(INDEX(Source_Filaire!$A$2:$M$100,Source_Filaire!$U126,COLUMNS(Source_Filaire!$R$2:S126)),"")</f>
        <v/>
      </c>
      <c r="C141" s="8" t="str">
        <f>IFERROR(INDEX(Source_Filaire!$A$2:$M$100,Source_Filaire!$U126,COLUMNS(Source_Filaire!$R$2:T126)),"")</f>
        <v/>
      </c>
      <c r="D141" s="8" t="str">
        <f>IFERROR(INDEX(Source_Filaire!$A$2:$M$100,Source_Filaire!$U126,COLUMNS(Source_Filaire!$R$2:U126)),"")</f>
        <v/>
      </c>
      <c r="E141" s="8" t="str">
        <f>IFERROR(INDEX(Source_Filaire!$A$2:$M$100,Source_Filaire!$U126,COLUMNS(Source_Filaire!$R$2:V126)),"")</f>
        <v/>
      </c>
      <c r="F141" s="8" t="str">
        <f>IFERROR(INDEX(Source_Filaire!$A$2:$M$100,Source_Filaire!$U126,COLUMNS(Source_Filaire!$R$2:W126)),"")</f>
        <v/>
      </c>
      <c r="G141" s="8" t="str">
        <f>IFERROR(INDEX(Source_Filaire!$A$2:$M$100,Source_Filaire!$U126,COLUMNS(Source_Filaire!$R$2:X126)),"")</f>
        <v/>
      </c>
      <c r="H141" s="8" t="str">
        <f>IFERROR(INDEX(Source_Filaire!$A$2:$M$100,Source_Filaire!$U126,COLUMNS(Source_Filaire!$R$2:Y126)),"")</f>
        <v/>
      </c>
      <c r="I141" s="8" t="str">
        <f>IFERROR(INDEX(Source_Filaire!$A$2:$M$100,Source_Filaire!$U126,COLUMNS(Source_Filaire!$R$2:Z126)),"")</f>
        <v/>
      </c>
      <c r="J141" s="8" t="str">
        <f>IFERROR(INDEX(Source_Filaire!$A$2:$M$100,Source_Filaire!$U126,COLUMNS(Source_Filaire!$R$2:AA126)),"")</f>
        <v/>
      </c>
      <c r="K141" s="8" t="str">
        <f>IFERROR(INDEX(Source_Filaire!$A$2:$M$100,Source_Filaire!$U126,COLUMNS(Source_Filaire!$R$2:AB126)),"")</f>
        <v/>
      </c>
      <c r="L141" s="8" t="str">
        <f>IFERROR(INDEX(Source_Filaire!$A$2:$M$100,Source_Filaire!$U126,COLUMNS(Source_Filaire!$R$2:AC126)),"")</f>
        <v/>
      </c>
      <c r="M141" s="8" t="str">
        <f>IFERROR(INDEX(Source_Filaire!$A$2:$M$100,Source_Filaire!$U126,COLUMNS(Source_Filaire!$R$2:AD126)),"")</f>
        <v/>
      </c>
    </row>
    <row r="142" spans="1:13" x14ac:dyDescent="0.25">
      <c r="A142" s="8" t="str">
        <f>IFERROR(INDEX(Source_Filaire!$A$2:$M$100,Source_Filaire!$U127,COLUMNS(Source_Filaire!$R$2:R127)),"")</f>
        <v/>
      </c>
      <c r="B142" s="8" t="str">
        <f>IFERROR(INDEX(Source_Filaire!$A$2:$M$100,Source_Filaire!$U127,COLUMNS(Source_Filaire!$R$2:S127)),"")</f>
        <v/>
      </c>
      <c r="C142" s="8" t="str">
        <f>IFERROR(INDEX(Source_Filaire!$A$2:$M$100,Source_Filaire!$U127,COLUMNS(Source_Filaire!$R$2:T127)),"")</f>
        <v/>
      </c>
      <c r="D142" s="8" t="str">
        <f>IFERROR(INDEX(Source_Filaire!$A$2:$M$100,Source_Filaire!$U127,COLUMNS(Source_Filaire!$R$2:U127)),"")</f>
        <v/>
      </c>
      <c r="E142" s="8" t="str">
        <f>IFERROR(INDEX(Source_Filaire!$A$2:$M$100,Source_Filaire!$U127,COLUMNS(Source_Filaire!$R$2:V127)),"")</f>
        <v/>
      </c>
      <c r="F142" s="8" t="str">
        <f>IFERROR(INDEX(Source_Filaire!$A$2:$M$100,Source_Filaire!$U127,COLUMNS(Source_Filaire!$R$2:W127)),"")</f>
        <v/>
      </c>
      <c r="G142" s="8" t="str">
        <f>IFERROR(INDEX(Source_Filaire!$A$2:$M$100,Source_Filaire!$U127,COLUMNS(Source_Filaire!$R$2:X127)),"")</f>
        <v/>
      </c>
      <c r="H142" s="8" t="str">
        <f>IFERROR(INDEX(Source_Filaire!$A$2:$M$100,Source_Filaire!$U127,COLUMNS(Source_Filaire!$R$2:Y127)),"")</f>
        <v/>
      </c>
      <c r="I142" s="8" t="str">
        <f>IFERROR(INDEX(Source_Filaire!$A$2:$M$100,Source_Filaire!$U127,COLUMNS(Source_Filaire!$R$2:Z127)),"")</f>
        <v/>
      </c>
      <c r="J142" s="8" t="str">
        <f>IFERROR(INDEX(Source_Filaire!$A$2:$M$100,Source_Filaire!$U127,COLUMNS(Source_Filaire!$R$2:AA127)),"")</f>
        <v/>
      </c>
      <c r="K142" s="8" t="str">
        <f>IFERROR(INDEX(Source_Filaire!$A$2:$M$100,Source_Filaire!$U127,COLUMNS(Source_Filaire!$R$2:AB127)),"")</f>
        <v/>
      </c>
      <c r="L142" s="8" t="str">
        <f>IFERROR(INDEX(Source_Filaire!$A$2:$M$100,Source_Filaire!$U127,COLUMNS(Source_Filaire!$R$2:AC127)),"")</f>
        <v/>
      </c>
      <c r="M142" s="8" t="str">
        <f>IFERROR(INDEX(Source_Filaire!$A$2:$M$100,Source_Filaire!$U127,COLUMNS(Source_Filaire!$R$2:AD127)),"")</f>
        <v/>
      </c>
    </row>
    <row r="143" spans="1:13" x14ac:dyDescent="0.25">
      <c r="A143" s="8" t="str">
        <f>IFERROR(INDEX(Source_Filaire!$A$2:$M$100,Source_Filaire!$U128,COLUMNS(Source_Filaire!$R$2:R128)),"")</f>
        <v/>
      </c>
      <c r="B143" s="8" t="str">
        <f>IFERROR(INDEX(Source_Filaire!$A$2:$M$100,Source_Filaire!$U128,COLUMNS(Source_Filaire!$R$2:S128)),"")</f>
        <v/>
      </c>
      <c r="C143" s="8" t="str">
        <f>IFERROR(INDEX(Source_Filaire!$A$2:$M$100,Source_Filaire!$U128,COLUMNS(Source_Filaire!$R$2:T128)),"")</f>
        <v/>
      </c>
      <c r="D143" s="8" t="str">
        <f>IFERROR(INDEX(Source_Filaire!$A$2:$M$100,Source_Filaire!$U128,COLUMNS(Source_Filaire!$R$2:U128)),"")</f>
        <v/>
      </c>
      <c r="E143" s="8" t="str">
        <f>IFERROR(INDEX(Source_Filaire!$A$2:$M$100,Source_Filaire!$U128,COLUMNS(Source_Filaire!$R$2:V128)),"")</f>
        <v/>
      </c>
      <c r="F143" s="8" t="str">
        <f>IFERROR(INDEX(Source_Filaire!$A$2:$M$100,Source_Filaire!$U128,COLUMNS(Source_Filaire!$R$2:W128)),"")</f>
        <v/>
      </c>
      <c r="G143" s="8" t="str">
        <f>IFERROR(INDEX(Source_Filaire!$A$2:$M$100,Source_Filaire!$U128,COLUMNS(Source_Filaire!$R$2:X128)),"")</f>
        <v/>
      </c>
      <c r="H143" s="8" t="str">
        <f>IFERROR(INDEX(Source_Filaire!$A$2:$M$100,Source_Filaire!$U128,COLUMNS(Source_Filaire!$R$2:Y128)),"")</f>
        <v/>
      </c>
      <c r="I143" s="8" t="str">
        <f>IFERROR(INDEX(Source_Filaire!$A$2:$M$100,Source_Filaire!$U128,COLUMNS(Source_Filaire!$R$2:Z128)),"")</f>
        <v/>
      </c>
      <c r="J143" s="8" t="str">
        <f>IFERROR(INDEX(Source_Filaire!$A$2:$M$100,Source_Filaire!$U128,COLUMNS(Source_Filaire!$R$2:AA128)),"")</f>
        <v/>
      </c>
      <c r="K143" s="8" t="str">
        <f>IFERROR(INDEX(Source_Filaire!$A$2:$M$100,Source_Filaire!$U128,COLUMNS(Source_Filaire!$R$2:AB128)),"")</f>
        <v/>
      </c>
      <c r="L143" s="8" t="str">
        <f>IFERROR(INDEX(Source_Filaire!$A$2:$M$100,Source_Filaire!$U128,COLUMNS(Source_Filaire!$R$2:AC128)),"")</f>
        <v/>
      </c>
      <c r="M143" s="8" t="str">
        <f>IFERROR(INDEX(Source_Filaire!$A$2:$M$100,Source_Filaire!$U128,COLUMNS(Source_Filaire!$R$2:AD128)),"")</f>
        <v/>
      </c>
    </row>
    <row r="144" spans="1:13" x14ac:dyDescent="0.25">
      <c r="A144" s="8" t="str">
        <f>IFERROR(INDEX(Source_Filaire!$A$2:$M$100,Source_Filaire!$U129,COLUMNS(Source_Filaire!$R$2:R129)),"")</f>
        <v/>
      </c>
      <c r="B144" s="8" t="str">
        <f>IFERROR(INDEX(Source_Filaire!$A$2:$M$100,Source_Filaire!$U129,COLUMNS(Source_Filaire!$R$2:S129)),"")</f>
        <v/>
      </c>
      <c r="C144" s="8" t="str">
        <f>IFERROR(INDEX(Source_Filaire!$A$2:$M$100,Source_Filaire!$U129,COLUMNS(Source_Filaire!$R$2:T129)),"")</f>
        <v/>
      </c>
      <c r="D144" s="8" t="str">
        <f>IFERROR(INDEX(Source_Filaire!$A$2:$M$100,Source_Filaire!$U129,COLUMNS(Source_Filaire!$R$2:U129)),"")</f>
        <v/>
      </c>
      <c r="E144" s="8" t="str">
        <f>IFERROR(INDEX(Source_Filaire!$A$2:$M$100,Source_Filaire!$U129,COLUMNS(Source_Filaire!$R$2:V129)),"")</f>
        <v/>
      </c>
      <c r="F144" s="8" t="str">
        <f>IFERROR(INDEX(Source_Filaire!$A$2:$M$100,Source_Filaire!$U129,COLUMNS(Source_Filaire!$R$2:W129)),"")</f>
        <v/>
      </c>
      <c r="G144" s="8" t="str">
        <f>IFERROR(INDEX(Source_Filaire!$A$2:$M$100,Source_Filaire!$U129,COLUMNS(Source_Filaire!$R$2:X129)),"")</f>
        <v/>
      </c>
      <c r="H144" s="8" t="str">
        <f>IFERROR(INDEX(Source_Filaire!$A$2:$M$100,Source_Filaire!$U129,COLUMNS(Source_Filaire!$R$2:Y129)),"")</f>
        <v/>
      </c>
      <c r="I144" s="8" t="str">
        <f>IFERROR(INDEX(Source_Filaire!$A$2:$M$100,Source_Filaire!$U129,COLUMNS(Source_Filaire!$R$2:Z129)),"")</f>
        <v/>
      </c>
      <c r="J144" s="8" t="str">
        <f>IFERROR(INDEX(Source_Filaire!$A$2:$M$100,Source_Filaire!$U129,COLUMNS(Source_Filaire!$R$2:AA129)),"")</f>
        <v/>
      </c>
      <c r="K144" s="8" t="str">
        <f>IFERROR(INDEX(Source_Filaire!$A$2:$M$100,Source_Filaire!$U129,COLUMNS(Source_Filaire!$R$2:AB129)),"")</f>
        <v/>
      </c>
      <c r="L144" s="8" t="str">
        <f>IFERROR(INDEX(Source_Filaire!$A$2:$M$100,Source_Filaire!$U129,COLUMNS(Source_Filaire!$R$2:AC129)),"")</f>
        <v/>
      </c>
      <c r="M144" s="8" t="str">
        <f>IFERROR(INDEX(Source_Filaire!$A$2:$M$100,Source_Filaire!$U129,COLUMNS(Source_Filaire!$R$2:AD129)),"")</f>
        <v/>
      </c>
    </row>
    <row r="145" spans="1:13" x14ac:dyDescent="0.25">
      <c r="A145" s="8" t="str">
        <f>IFERROR(INDEX(Source_Filaire!$A$2:$M$100,Source_Filaire!$U130,COLUMNS(Source_Filaire!$R$2:R130)),"")</f>
        <v/>
      </c>
      <c r="B145" s="8" t="str">
        <f>IFERROR(INDEX(Source_Filaire!$A$2:$M$100,Source_Filaire!$U130,COLUMNS(Source_Filaire!$R$2:S130)),"")</f>
        <v/>
      </c>
      <c r="C145" s="8" t="str">
        <f>IFERROR(INDEX(Source_Filaire!$A$2:$M$100,Source_Filaire!$U130,COLUMNS(Source_Filaire!$R$2:T130)),"")</f>
        <v/>
      </c>
      <c r="D145" s="8" t="str">
        <f>IFERROR(INDEX(Source_Filaire!$A$2:$M$100,Source_Filaire!$U130,COLUMNS(Source_Filaire!$R$2:U130)),"")</f>
        <v/>
      </c>
      <c r="E145" s="8" t="str">
        <f>IFERROR(INDEX(Source_Filaire!$A$2:$M$100,Source_Filaire!$U130,COLUMNS(Source_Filaire!$R$2:V130)),"")</f>
        <v/>
      </c>
      <c r="F145" s="8" t="str">
        <f>IFERROR(INDEX(Source_Filaire!$A$2:$M$100,Source_Filaire!$U130,COLUMNS(Source_Filaire!$R$2:W130)),"")</f>
        <v/>
      </c>
      <c r="G145" s="8" t="str">
        <f>IFERROR(INDEX(Source_Filaire!$A$2:$M$100,Source_Filaire!$U130,COLUMNS(Source_Filaire!$R$2:X130)),"")</f>
        <v/>
      </c>
      <c r="H145" s="8" t="str">
        <f>IFERROR(INDEX(Source_Filaire!$A$2:$M$100,Source_Filaire!$U130,COLUMNS(Source_Filaire!$R$2:Y130)),"")</f>
        <v/>
      </c>
      <c r="I145" s="8" t="str">
        <f>IFERROR(INDEX(Source_Filaire!$A$2:$M$100,Source_Filaire!$U130,COLUMNS(Source_Filaire!$R$2:Z130)),"")</f>
        <v/>
      </c>
      <c r="J145" s="8" t="str">
        <f>IFERROR(INDEX(Source_Filaire!$A$2:$M$100,Source_Filaire!$U130,COLUMNS(Source_Filaire!$R$2:AA130)),"")</f>
        <v/>
      </c>
      <c r="K145" s="8" t="str">
        <f>IFERROR(INDEX(Source_Filaire!$A$2:$M$100,Source_Filaire!$U130,COLUMNS(Source_Filaire!$R$2:AB130)),"")</f>
        <v/>
      </c>
      <c r="L145" s="8" t="str">
        <f>IFERROR(INDEX(Source_Filaire!$A$2:$M$100,Source_Filaire!$U130,COLUMNS(Source_Filaire!$R$2:AC130)),"")</f>
        <v/>
      </c>
      <c r="M145" s="8" t="str">
        <f>IFERROR(INDEX(Source_Filaire!$A$2:$M$100,Source_Filaire!$U130,COLUMNS(Source_Filaire!$R$2:AD130)),"")</f>
        <v/>
      </c>
    </row>
    <row r="146" spans="1:13" x14ac:dyDescent="0.25">
      <c r="A146" s="8" t="str">
        <f>IFERROR(INDEX(Source_Filaire!$A$2:$M$100,Source_Filaire!$U131,COLUMNS(Source_Filaire!$R$2:R131)),"")</f>
        <v/>
      </c>
      <c r="B146" s="8" t="str">
        <f>IFERROR(INDEX(Source_Filaire!$A$2:$M$100,Source_Filaire!$U131,COLUMNS(Source_Filaire!$R$2:S131)),"")</f>
        <v/>
      </c>
      <c r="C146" s="8" t="str">
        <f>IFERROR(INDEX(Source_Filaire!$A$2:$M$100,Source_Filaire!$U131,COLUMNS(Source_Filaire!$R$2:T131)),"")</f>
        <v/>
      </c>
      <c r="D146" s="8" t="str">
        <f>IFERROR(INDEX(Source_Filaire!$A$2:$M$100,Source_Filaire!$U131,COLUMNS(Source_Filaire!$R$2:U131)),"")</f>
        <v/>
      </c>
      <c r="E146" s="8" t="str">
        <f>IFERROR(INDEX(Source_Filaire!$A$2:$M$100,Source_Filaire!$U131,COLUMNS(Source_Filaire!$R$2:V131)),"")</f>
        <v/>
      </c>
      <c r="F146" s="8" t="str">
        <f>IFERROR(INDEX(Source_Filaire!$A$2:$M$100,Source_Filaire!$U131,COLUMNS(Source_Filaire!$R$2:W131)),"")</f>
        <v/>
      </c>
      <c r="G146" s="8" t="str">
        <f>IFERROR(INDEX(Source_Filaire!$A$2:$M$100,Source_Filaire!$U131,COLUMNS(Source_Filaire!$R$2:X131)),"")</f>
        <v/>
      </c>
      <c r="H146" s="8" t="str">
        <f>IFERROR(INDEX(Source_Filaire!$A$2:$M$100,Source_Filaire!$U131,COLUMNS(Source_Filaire!$R$2:Y131)),"")</f>
        <v/>
      </c>
      <c r="I146" s="8" t="str">
        <f>IFERROR(INDEX(Source_Filaire!$A$2:$M$100,Source_Filaire!$U131,COLUMNS(Source_Filaire!$R$2:Z131)),"")</f>
        <v/>
      </c>
      <c r="J146" s="8" t="str">
        <f>IFERROR(INDEX(Source_Filaire!$A$2:$M$100,Source_Filaire!$U131,COLUMNS(Source_Filaire!$R$2:AA131)),"")</f>
        <v/>
      </c>
      <c r="K146" s="8" t="str">
        <f>IFERROR(INDEX(Source_Filaire!$A$2:$M$100,Source_Filaire!$U131,COLUMNS(Source_Filaire!$R$2:AB131)),"")</f>
        <v/>
      </c>
      <c r="L146" s="8" t="str">
        <f>IFERROR(INDEX(Source_Filaire!$A$2:$M$100,Source_Filaire!$U131,COLUMNS(Source_Filaire!$R$2:AC131)),"")</f>
        <v/>
      </c>
      <c r="M146" s="8" t="str">
        <f>IFERROR(INDEX(Source_Filaire!$A$2:$M$100,Source_Filaire!$U131,COLUMNS(Source_Filaire!$R$2:AD131)),"")</f>
        <v/>
      </c>
    </row>
    <row r="147" spans="1:13" x14ac:dyDescent="0.25">
      <c r="A147" s="8" t="str">
        <f>IFERROR(INDEX(Source_Filaire!$A$2:$M$100,Source_Filaire!$U132,COLUMNS(Source_Filaire!$R$2:R132)),"")</f>
        <v/>
      </c>
      <c r="B147" s="8" t="str">
        <f>IFERROR(INDEX(Source_Filaire!$A$2:$M$100,Source_Filaire!$U132,COLUMNS(Source_Filaire!$R$2:S132)),"")</f>
        <v/>
      </c>
      <c r="C147" s="8" t="str">
        <f>IFERROR(INDEX(Source_Filaire!$A$2:$M$100,Source_Filaire!$U132,COLUMNS(Source_Filaire!$R$2:T132)),"")</f>
        <v/>
      </c>
      <c r="D147" s="8" t="str">
        <f>IFERROR(INDEX(Source_Filaire!$A$2:$M$100,Source_Filaire!$U132,COLUMNS(Source_Filaire!$R$2:U132)),"")</f>
        <v/>
      </c>
      <c r="E147" s="8" t="str">
        <f>IFERROR(INDEX(Source_Filaire!$A$2:$M$100,Source_Filaire!$U132,COLUMNS(Source_Filaire!$R$2:V132)),"")</f>
        <v/>
      </c>
      <c r="F147" s="8" t="str">
        <f>IFERROR(INDEX(Source_Filaire!$A$2:$M$100,Source_Filaire!$U132,COLUMNS(Source_Filaire!$R$2:W132)),"")</f>
        <v/>
      </c>
      <c r="G147" s="8" t="str">
        <f>IFERROR(INDEX(Source_Filaire!$A$2:$M$100,Source_Filaire!$U132,COLUMNS(Source_Filaire!$R$2:X132)),"")</f>
        <v/>
      </c>
      <c r="H147" s="8" t="str">
        <f>IFERROR(INDEX(Source_Filaire!$A$2:$M$100,Source_Filaire!$U132,COLUMNS(Source_Filaire!$R$2:Y132)),"")</f>
        <v/>
      </c>
      <c r="I147" s="8" t="str">
        <f>IFERROR(INDEX(Source_Filaire!$A$2:$M$100,Source_Filaire!$U132,COLUMNS(Source_Filaire!$R$2:Z132)),"")</f>
        <v/>
      </c>
      <c r="J147" s="8" t="str">
        <f>IFERROR(INDEX(Source_Filaire!$A$2:$M$100,Source_Filaire!$U132,COLUMNS(Source_Filaire!$R$2:AA132)),"")</f>
        <v/>
      </c>
      <c r="K147" s="8" t="str">
        <f>IFERROR(INDEX(Source_Filaire!$A$2:$M$100,Source_Filaire!$U132,COLUMNS(Source_Filaire!$R$2:AB132)),"")</f>
        <v/>
      </c>
      <c r="L147" s="8" t="str">
        <f>IFERROR(INDEX(Source_Filaire!$A$2:$M$100,Source_Filaire!$U132,COLUMNS(Source_Filaire!$R$2:AC132)),"")</f>
        <v/>
      </c>
      <c r="M147" s="8" t="str">
        <f>IFERROR(INDEX(Source_Filaire!$A$2:$M$100,Source_Filaire!$U132,COLUMNS(Source_Filaire!$R$2:AD132)),"")</f>
        <v/>
      </c>
    </row>
    <row r="148" spans="1:13" x14ac:dyDescent="0.25">
      <c r="A148" s="8" t="str">
        <f>IFERROR(INDEX(Source_Filaire!$A$2:$M$100,Source_Filaire!$U133,COLUMNS(Source!$R$2:R133)),"")</f>
        <v/>
      </c>
      <c r="B148" s="8" t="str">
        <f>IFERROR(INDEX(Source_Filaire!$A$2:$M$100,Source_Filaire!$U133,COLUMNS(Source!$R$2:S133)),"")</f>
        <v/>
      </c>
      <c r="C148" s="8" t="str">
        <f>IFERROR(INDEX(Source_Filaire!$A$2:$M$100,Source_Filaire!$U133,COLUMNS(Source!$R$2:T133)),"")</f>
        <v/>
      </c>
      <c r="D148" s="8" t="str">
        <f>IFERROR(INDEX(Source_Filaire!$A$2:$M$100,Source_Filaire!$U133,COLUMNS(Source!$R$2:U133)),"")</f>
        <v/>
      </c>
      <c r="E148" s="8" t="str">
        <f>IFERROR(INDEX(Source_Filaire!$A$2:$M$100,Source_Filaire!$U133,COLUMNS(Source!$R$2:V133)),"")</f>
        <v/>
      </c>
      <c r="F148" s="8" t="str">
        <f>IFERROR(INDEX(Source_Filaire!$A$2:$M$100,Source_Filaire!$U133,COLUMNS(Source!$R$2:W133)),"")</f>
        <v/>
      </c>
      <c r="G148" s="8" t="str">
        <f>IFERROR(INDEX(Source_Filaire!$A$2:$M$100,Source_Filaire!$U133,COLUMNS(Source!$R$2:X133)),"")</f>
        <v/>
      </c>
      <c r="H148" s="8" t="str">
        <f>IFERROR(INDEX(Source_Filaire!$A$2:$M$100,Source_Filaire!$U133,COLUMNS(Source!$R$2:Y133)),"")</f>
        <v/>
      </c>
      <c r="I148" s="8" t="str">
        <f>IFERROR(INDEX(Source_Filaire!$A$2:$M$100,Source_Filaire!$U133,COLUMNS(Source!$R$2:Z133)),"")</f>
        <v/>
      </c>
      <c r="J148" s="8" t="str">
        <f>IFERROR(INDEX(Source_Filaire!$A$2:$M$100,Source_Filaire!$U133,COLUMNS(Source!$R$2:AA133)),"")</f>
        <v/>
      </c>
      <c r="K148" s="8" t="str">
        <f>IFERROR(INDEX(Source_Filaire!$A$2:$M$100,Source_Filaire!$U133,COLUMNS(Source!$R$2:AB133)),"")</f>
        <v/>
      </c>
      <c r="L148" s="8" t="str">
        <f>IFERROR(INDEX(Source_Filaire!$A$2:$M$100,Source_Filaire!$U133,COLUMNS(Source!$R$2:AC133)),"")</f>
        <v/>
      </c>
      <c r="M148" s="21" t="str">
        <f>IFERROR(INDEX(Source_Filaire!$A$2:$M$100,Source_Filaire!$U133,COLUMNS(Source!$R$2:AD133)),"")</f>
        <v/>
      </c>
    </row>
    <row r="149" spans="1:13" x14ac:dyDescent="0.25">
      <c r="A149" s="8" t="str">
        <f>IFERROR(INDEX(Source_Filaire!$A$2:$M$100,Source_Filaire!$U134,COLUMNS(Source!$R$2:R134)),"")</f>
        <v/>
      </c>
      <c r="B149" s="8" t="str">
        <f>IFERROR(INDEX(Source_Filaire!$A$2:$M$100,Source_Filaire!$U134,COLUMNS(Source!$R$2:S134)),"")</f>
        <v/>
      </c>
      <c r="C149" s="8" t="str">
        <f>IFERROR(INDEX(Source_Filaire!$A$2:$M$100,Source_Filaire!$U134,COLUMNS(Source!$R$2:T134)),"")</f>
        <v/>
      </c>
      <c r="D149" s="8" t="str">
        <f>IFERROR(INDEX(Source_Filaire!$A$2:$M$100,Source_Filaire!$U134,COLUMNS(Source!$R$2:U134)),"")</f>
        <v/>
      </c>
      <c r="E149" s="8" t="str">
        <f>IFERROR(INDEX(Source_Filaire!$A$2:$M$100,Source_Filaire!$U134,COLUMNS(Source!$R$2:V134)),"")</f>
        <v/>
      </c>
      <c r="F149" s="8" t="str">
        <f>IFERROR(INDEX(Source_Filaire!$A$2:$M$100,Source_Filaire!$U134,COLUMNS(Source!$R$2:W134)),"")</f>
        <v/>
      </c>
      <c r="G149" s="8" t="str">
        <f>IFERROR(INDEX(Source_Filaire!$A$2:$M$100,Source_Filaire!$U134,COLUMNS(Source!$R$2:X134)),"")</f>
        <v/>
      </c>
      <c r="H149" s="8" t="str">
        <f>IFERROR(INDEX(Source_Filaire!$A$2:$M$100,Source_Filaire!$U134,COLUMNS(Source!$R$2:Y134)),"")</f>
        <v/>
      </c>
      <c r="I149" s="8" t="str">
        <f>IFERROR(INDEX(Source_Filaire!$A$2:$M$100,Source_Filaire!$U134,COLUMNS(Source!$R$2:Z134)),"")</f>
        <v/>
      </c>
      <c r="J149" s="8" t="str">
        <f>IFERROR(INDEX(Source_Filaire!$A$2:$M$100,Source_Filaire!$U134,COLUMNS(Source!$R$2:AA134)),"")</f>
        <v/>
      </c>
      <c r="K149" s="8" t="str">
        <f>IFERROR(INDEX(Source_Filaire!$A$2:$M$100,Source_Filaire!$U134,COLUMNS(Source!$R$2:AB134)),"")</f>
        <v/>
      </c>
      <c r="L149" s="8" t="str">
        <f>IFERROR(INDEX(Source_Filaire!$A$2:$M$100,Source_Filaire!$U134,COLUMNS(Source!$R$2:AC134)),"")</f>
        <v/>
      </c>
      <c r="M149" s="21" t="str">
        <f>IFERROR(INDEX(Source_Filaire!$A$2:$M$100,Source_Filaire!$U134,COLUMNS(Source!$R$2:AD134)),"")</f>
        <v/>
      </c>
    </row>
    <row r="150" spans="1:13" x14ac:dyDescent="0.25">
      <c r="A150" s="8" t="str">
        <f>IFERROR(INDEX(Source_Filaire!$A$2:$M$100,Source_Filaire!$U135,COLUMNS(Source!$R$2:R135)),"")</f>
        <v/>
      </c>
      <c r="B150" s="8" t="str">
        <f>IFERROR(INDEX(Source_Filaire!$A$2:$M$100,Source_Filaire!$U135,COLUMNS(Source!$R$2:S135)),"")</f>
        <v/>
      </c>
      <c r="C150" s="8" t="str">
        <f>IFERROR(INDEX(Source_Filaire!$A$2:$M$100,Source_Filaire!$U135,COLUMNS(Source!$R$2:T135)),"")</f>
        <v/>
      </c>
      <c r="D150" s="8" t="str">
        <f>IFERROR(INDEX(Source_Filaire!$A$2:$M$100,Source_Filaire!$U135,COLUMNS(Source!$R$2:U135)),"")</f>
        <v/>
      </c>
      <c r="E150" s="8" t="str">
        <f>IFERROR(INDEX(Source_Filaire!$A$2:$M$100,Source_Filaire!$U135,COLUMNS(Source!$R$2:V135)),"")</f>
        <v/>
      </c>
      <c r="F150" s="8" t="str">
        <f>IFERROR(INDEX(Source_Filaire!$A$2:$M$100,Source_Filaire!$U135,COLUMNS(Source!$R$2:W135)),"")</f>
        <v/>
      </c>
      <c r="G150" s="8" t="str">
        <f>IFERROR(INDEX(Source_Filaire!$A$2:$M$100,Source_Filaire!$U135,COLUMNS(Source!$R$2:X135)),"")</f>
        <v/>
      </c>
      <c r="H150" s="8" t="str">
        <f>IFERROR(INDEX(Source_Filaire!$A$2:$M$100,Source_Filaire!$U135,COLUMNS(Source!$R$2:Y135)),"")</f>
        <v/>
      </c>
      <c r="I150" s="8" t="str">
        <f>IFERROR(INDEX(Source_Filaire!$A$2:$M$100,Source_Filaire!$U135,COLUMNS(Source!$R$2:Z135)),"")</f>
        <v/>
      </c>
      <c r="J150" s="8" t="str">
        <f>IFERROR(INDEX(Source_Filaire!$A$2:$M$100,Source_Filaire!$U135,COLUMNS(Source!$R$2:AA135)),"")</f>
        <v/>
      </c>
      <c r="K150" s="8" t="str">
        <f>IFERROR(INDEX(Source_Filaire!$A$2:$M$100,Source_Filaire!$U135,COLUMNS(Source!$R$2:AB135)),"")</f>
        <v/>
      </c>
      <c r="L150" s="8" t="str">
        <f>IFERROR(INDEX(Source_Filaire!$A$2:$M$100,Source_Filaire!$U135,COLUMNS(Source!$R$2:AC135)),"")</f>
        <v/>
      </c>
      <c r="M150" s="21" t="str">
        <f>IFERROR(INDEX(Source_Filaire!$A$2:$M$100,Source_Filaire!$U135,COLUMNS(Source!$R$2:AD135)),"")</f>
        <v/>
      </c>
    </row>
    <row r="151" spans="1:13" x14ac:dyDescent="0.25">
      <c r="A151" s="8" t="str">
        <f>IFERROR(INDEX(Source_Filaire!$A$2:$M$100,Source_Filaire!$U136,COLUMNS(Source!$R$2:R136)),"")</f>
        <v/>
      </c>
      <c r="B151" s="8" t="str">
        <f>IFERROR(INDEX(Source_Filaire!$A$2:$M$100,Source_Filaire!$U136,COLUMNS(Source!$R$2:S136)),"")</f>
        <v/>
      </c>
      <c r="C151" s="8" t="str">
        <f>IFERROR(INDEX(Source_Filaire!$A$2:$M$100,Source_Filaire!$U136,COLUMNS(Source!$R$2:T136)),"")</f>
        <v/>
      </c>
      <c r="D151" s="8" t="str">
        <f>IFERROR(INDEX(Source_Filaire!$A$2:$M$100,Source_Filaire!$U136,COLUMNS(Source!$R$2:U136)),"")</f>
        <v/>
      </c>
      <c r="E151" s="8" t="str">
        <f>IFERROR(INDEX(Source_Filaire!$A$2:$M$100,Source_Filaire!$U136,COLUMNS(Source!$R$2:V136)),"")</f>
        <v/>
      </c>
      <c r="F151" s="8" t="str">
        <f>IFERROR(INDEX(Source_Filaire!$A$2:$M$100,Source_Filaire!$U136,COLUMNS(Source!$R$2:W136)),"")</f>
        <v/>
      </c>
      <c r="G151" s="8" t="str">
        <f>IFERROR(INDEX(Source_Filaire!$A$2:$M$100,Source_Filaire!$U136,COLUMNS(Source!$R$2:X136)),"")</f>
        <v/>
      </c>
      <c r="H151" s="8" t="str">
        <f>IFERROR(INDEX(Source_Filaire!$A$2:$M$100,Source_Filaire!$U136,COLUMNS(Source!$R$2:Y136)),"")</f>
        <v/>
      </c>
      <c r="I151" s="8" t="str">
        <f>IFERROR(INDEX(Source_Filaire!$A$2:$M$100,Source_Filaire!$U136,COLUMNS(Source!$R$2:Z136)),"")</f>
        <v/>
      </c>
      <c r="J151" s="8" t="str">
        <f>IFERROR(INDEX(Source_Filaire!$A$2:$M$100,Source_Filaire!$U136,COLUMNS(Source!$R$2:AA136)),"")</f>
        <v/>
      </c>
      <c r="K151" s="8" t="str">
        <f>IFERROR(INDEX(Source_Filaire!$A$2:$M$100,Source_Filaire!$U136,COLUMNS(Source!$R$2:AB136)),"")</f>
        <v/>
      </c>
      <c r="L151" s="8" t="str">
        <f>IFERROR(INDEX(Source_Filaire!$A$2:$M$100,Source_Filaire!$U136,COLUMNS(Source!$R$2:AC136)),"")</f>
        <v/>
      </c>
      <c r="M151" s="21" t="str">
        <f>IFERROR(INDEX(Source_Filaire!$A$2:$M$100,Source_Filaire!$U136,COLUMNS(Source!$R$2:AD136)),"")</f>
        <v/>
      </c>
    </row>
    <row r="152" spans="1:13" x14ac:dyDescent="0.25">
      <c r="A152" s="8" t="str">
        <f>IFERROR(INDEX(Source_Filaire!$A$2:$M$100,Source_Filaire!$U137,COLUMNS(Source!$R$2:R137)),"")</f>
        <v/>
      </c>
      <c r="B152" s="8" t="str">
        <f>IFERROR(INDEX(Source_Filaire!$A$2:$M$100,Source_Filaire!$U137,COLUMNS(Source!$R$2:S137)),"")</f>
        <v/>
      </c>
      <c r="C152" s="8" t="str">
        <f>IFERROR(INDEX(Source_Filaire!$A$2:$M$100,Source_Filaire!$U137,COLUMNS(Source!$R$2:T137)),"")</f>
        <v/>
      </c>
      <c r="D152" s="8" t="str">
        <f>IFERROR(INDEX(Source_Filaire!$A$2:$M$100,Source_Filaire!$U137,COLUMNS(Source!$R$2:U137)),"")</f>
        <v/>
      </c>
      <c r="E152" s="8" t="str">
        <f>IFERROR(INDEX(Source_Filaire!$A$2:$M$100,Source_Filaire!$U137,COLUMNS(Source!$R$2:V137)),"")</f>
        <v/>
      </c>
      <c r="F152" s="8" t="str">
        <f>IFERROR(INDEX(Source_Filaire!$A$2:$M$100,Source_Filaire!$U137,COLUMNS(Source!$R$2:W137)),"")</f>
        <v/>
      </c>
      <c r="G152" s="8" t="str">
        <f>IFERROR(INDEX(Source_Filaire!$A$2:$M$100,Source_Filaire!$U137,COLUMNS(Source!$R$2:X137)),"")</f>
        <v/>
      </c>
      <c r="H152" s="8" t="str">
        <f>IFERROR(INDEX(Source_Filaire!$A$2:$M$100,Source_Filaire!$U137,COLUMNS(Source!$R$2:Y137)),"")</f>
        <v/>
      </c>
      <c r="I152" s="8" t="str">
        <f>IFERROR(INDEX(Source_Filaire!$A$2:$M$100,Source_Filaire!$U137,COLUMNS(Source!$R$2:Z137)),"")</f>
        <v/>
      </c>
      <c r="J152" s="8" t="str">
        <f>IFERROR(INDEX(Source_Filaire!$A$2:$M$100,Source_Filaire!$U137,COLUMNS(Source!$R$2:AA137)),"")</f>
        <v/>
      </c>
      <c r="K152" s="8" t="str">
        <f>IFERROR(INDEX(Source_Filaire!$A$2:$M$100,Source_Filaire!$U137,COLUMNS(Source!$R$2:AB137)),"")</f>
        <v/>
      </c>
      <c r="L152" s="8" t="str">
        <f>IFERROR(INDEX(Source_Filaire!$A$2:$M$100,Source_Filaire!$U137,COLUMNS(Source!$R$2:AC137)),"")</f>
        <v/>
      </c>
      <c r="M152" s="21" t="str">
        <f>IFERROR(INDEX(Source_Filaire!$A$2:$M$100,Source_Filaire!$U137,COLUMNS(Source!$R$2:AD137)),"")</f>
        <v/>
      </c>
    </row>
    <row r="153" spans="1:13" x14ac:dyDescent="0.25">
      <c r="A153" s="8" t="str">
        <f>IFERROR(INDEX(Source_Filaire!$A$2:$M$100,Source_Filaire!$U138,COLUMNS(Source!$R$2:R138)),"")</f>
        <v/>
      </c>
      <c r="B153" s="8" t="str">
        <f>IFERROR(INDEX(Source_Filaire!$A$2:$M$100,Source_Filaire!$U138,COLUMNS(Source!$R$2:S138)),"")</f>
        <v/>
      </c>
      <c r="C153" s="8" t="str">
        <f>IFERROR(INDEX(Source_Filaire!$A$2:$M$100,Source_Filaire!$U138,COLUMNS(Source!$R$2:T138)),"")</f>
        <v/>
      </c>
      <c r="D153" s="8" t="str">
        <f>IFERROR(INDEX(Source_Filaire!$A$2:$M$100,Source_Filaire!$U138,COLUMNS(Source!$R$2:U138)),"")</f>
        <v/>
      </c>
      <c r="E153" s="8" t="str">
        <f>IFERROR(INDEX(Source_Filaire!$A$2:$M$100,Source_Filaire!$U138,COLUMNS(Source!$R$2:V138)),"")</f>
        <v/>
      </c>
      <c r="F153" s="8" t="str">
        <f>IFERROR(INDEX(Source_Filaire!$A$2:$M$100,Source_Filaire!$U138,COLUMNS(Source!$R$2:W138)),"")</f>
        <v/>
      </c>
      <c r="G153" s="8" t="str">
        <f>IFERROR(INDEX(Source_Filaire!$A$2:$M$100,Source_Filaire!$U138,COLUMNS(Source!$R$2:X138)),"")</f>
        <v/>
      </c>
      <c r="H153" s="8" t="str">
        <f>IFERROR(INDEX(Source_Filaire!$A$2:$M$100,Source_Filaire!$U138,COLUMNS(Source!$R$2:Y138)),"")</f>
        <v/>
      </c>
      <c r="I153" s="8" t="str">
        <f>IFERROR(INDEX(Source_Filaire!$A$2:$M$100,Source_Filaire!$U138,COLUMNS(Source!$R$2:Z138)),"")</f>
        <v/>
      </c>
      <c r="J153" s="8" t="str">
        <f>IFERROR(INDEX(Source_Filaire!$A$2:$M$100,Source_Filaire!$U138,COLUMNS(Source!$R$2:AA138)),"")</f>
        <v/>
      </c>
      <c r="K153" s="8" t="str">
        <f>IFERROR(INDEX(Source_Filaire!$A$2:$M$100,Source_Filaire!$U138,COLUMNS(Source!$R$2:AB138)),"")</f>
        <v/>
      </c>
      <c r="L153" s="8" t="str">
        <f>IFERROR(INDEX(Source_Filaire!$A$2:$M$100,Source_Filaire!$U138,COLUMNS(Source!$R$2:AC138)),"")</f>
        <v/>
      </c>
      <c r="M153" s="21" t="str">
        <f>IFERROR(INDEX(Source_Filaire!$A$2:$M$100,Source_Filaire!$U138,COLUMNS(Source!$R$2:AD138)),"")</f>
        <v/>
      </c>
    </row>
    <row r="154" spans="1:13" x14ac:dyDescent="0.25">
      <c r="A154" s="8" t="str">
        <f>IFERROR(INDEX(Source_Filaire!$A$2:$M$100,Source_Filaire!$U139,COLUMNS(Source!$R$2:R139)),"")</f>
        <v/>
      </c>
      <c r="B154" s="8" t="str">
        <f>IFERROR(INDEX(Source_Filaire!$A$2:$M$100,Source_Filaire!$U139,COLUMNS(Source!$R$2:S139)),"")</f>
        <v/>
      </c>
      <c r="C154" s="8" t="str">
        <f>IFERROR(INDEX(Source_Filaire!$A$2:$M$100,Source_Filaire!$U139,COLUMNS(Source!$R$2:T139)),"")</f>
        <v/>
      </c>
      <c r="D154" s="8" t="str">
        <f>IFERROR(INDEX(Source_Filaire!$A$2:$M$100,Source_Filaire!$U139,COLUMNS(Source!$R$2:U139)),"")</f>
        <v/>
      </c>
      <c r="E154" s="8" t="str">
        <f>IFERROR(INDEX(Source_Filaire!$A$2:$M$100,Source_Filaire!$U139,COLUMNS(Source!$R$2:V139)),"")</f>
        <v/>
      </c>
      <c r="F154" s="8" t="str">
        <f>IFERROR(INDEX(Source_Filaire!$A$2:$M$100,Source_Filaire!$U139,COLUMNS(Source!$R$2:W139)),"")</f>
        <v/>
      </c>
      <c r="G154" s="8" t="str">
        <f>IFERROR(INDEX(Source_Filaire!$A$2:$M$100,Source_Filaire!$U139,COLUMNS(Source!$R$2:X139)),"")</f>
        <v/>
      </c>
      <c r="H154" s="8" t="str">
        <f>IFERROR(INDEX(Source_Filaire!$A$2:$M$100,Source_Filaire!$U139,COLUMNS(Source!$R$2:Y139)),"")</f>
        <v/>
      </c>
      <c r="I154" s="8" t="str">
        <f>IFERROR(INDEX(Source_Filaire!$A$2:$M$100,Source_Filaire!$U139,COLUMNS(Source!$R$2:Z139)),"")</f>
        <v/>
      </c>
      <c r="J154" s="8" t="str">
        <f>IFERROR(INDEX(Source_Filaire!$A$2:$M$100,Source_Filaire!$U139,COLUMNS(Source!$R$2:AA139)),"")</f>
        <v/>
      </c>
      <c r="K154" s="8" t="str">
        <f>IFERROR(INDEX(Source_Filaire!$A$2:$M$100,Source_Filaire!$U139,COLUMNS(Source!$R$2:AB139)),"")</f>
        <v/>
      </c>
      <c r="L154" s="8" t="str">
        <f>IFERROR(INDEX(Source_Filaire!$A$2:$M$100,Source_Filaire!$U139,COLUMNS(Source!$R$2:AC139)),"")</f>
        <v/>
      </c>
      <c r="M154" s="21" t="str">
        <f>IFERROR(INDEX(Source_Filaire!$A$2:$M$100,Source_Filaire!$U139,COLUMNS(Source!$R$2:AD139)),"")</f>
        <v/>
      </c>
    </row>
  </sheetData>
  <hyperlinks>
    <hyperlink ref="B23" r:id="rId1" display="https://www.connexing.fr/plantronics-entera-binaural-casque-filaire.html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7" r:id="rId5" name="TextBox2">
          <controlPr defaultSize="0" autoFill="0" autoLine="0" r:id="rId6">
            <anchor moveWithCells="1">
              <from>
                <xdr:col>1</xdr:col>
                <xdr:colOff>9525</xdr:colOff>
                <xdr:row>6</xdr:row>
                <xdr:rowOff>104775</xdr:rowOff>
              </from>
              <to>
                <xdr:col>2</xdr:col>
                <xdr:colOff>133350</xdr:colOff>
                <xdr:row>7</xdr:row>
                <xdr:rowOff>161925</xdr:rowOff>
              </to>
            </anchor>
          </controlPr>
        </control>
      </mc:Choice>
      <mc:Fallback>
        <control shapeId="8197" r:id="rId5" name="TextBox2"/>
      </mc:Fallback>
    </mc:AlternateContent>
    <mc:AlternateContent xmlns:mc="http://schemas.openxmlformats.org/markup-compatibility/2006">
      <mc:Choice Requires="x14">
        <control shapeId="8199" r:id="rId7" name="TextBox4">
          <controlPr defaultSize="0" autoFill="0" autoLine="0" r:id="rId8">
            <anchor moveWithCells="1">
              <from>
                <xdr:col>3</xdr:col>
                <xdr:colOff>19050</xdr:colOff>
                <xdr:row>6</xdr:row>
                <xdr:rowOff>123825</xdr:rowOff>
              </from>
              <to>
                <xdr:col>5</xdr:col>
                <xdr:colOff>123825</xdr:colOff>
                <xdr:row>7</xdr:row>
                <xdr:rowOff>180975</xdr:rowOff>
              </to>
            </anchor>
          </controlPr>
        </control>
      </mc:Choice>
      <mc:Fallback>
        <control shapeId="8199" r:id="rId7" name="TextBox4"/>
      </mc:Fallback>
    </mc:AlternateContent>
    <mc:AlternateContent xmlns:mc="http://schemas.openxmlformats.org/markup-compatibility/2006">
      <mc:Choice Requires="x14">
        <control shapeId="8200" r:id="rId9" name="TextBox5">
          <controlPr defaultSize="0" autoFill="0" autoLine="0" r:id="rId10">
            <anchor moveWithCells="1">
              <from>
                <xdr:col>6</xdr:col>
                <xdr:colOff>9525</xdr:colOff>
                <xdr:row>6</xdr:row>
                <xdr:rowOff>114300</xdr:rowOff>
              </from>
              <to>
                <xdr:col>7</xdr:col>
                <xdr:colOff>990600</xdr:colOff>
                <xdr:row>7</xdr:row>
                <xdr:rowOff>171450</xdr:rowOff>
              </to>
            </anchor>
          </controlPr>
        </control>
      </mc:Choice>
      <mc:Fallback>
        <control shapeId="8200" r:id="rId9" name="TextBox5"/>
      </mc:Fallback>
    </mc:AlternateContent>
    <mc:AlternateContent xmlns:mc="http://schemas.openxmlformats.org/markup-compatibility/2006">
      <mc:Choice Requires="x14">
        <control shapeId="8193" r:id="rId11" name="Drop Down 1">
          <controlPr defaultSize="0" autoLine="0" autoPict="0">
            <anchor moveWithCells="1">
              <from>
                <xdr:col>1</xdr:col>
                <xdr:colOff>0</xdr:colOff>
                <xdr:row>8</xdr:row>
                <xdr:rowOff>171450</xdr:rowOff>
              </from>
              <to>
                <xdr:col>2</xdr:col>
                <xdr:colOff>104775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2" name="Drop Down 3">
          <controlPr defaultSize="0" autoLine="0" autoPict="0">
            <anchor moveWithCells="1">
              <from>
                <xdr:col>3</xdr:col>
                <xdr:colOff>9525</xdr:colOff>
                <xdr:row>8</xdr:row>
                <xdr:rowOff>152400</xdr:rowOff>
              </from>
              <to>
                <xdr:col>5</xdr:col>
                <xdr:colOff>95250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3" name="Drop Down 4">
          <controlPr defaultSize="0" autoLine="0" autoPict="0">
            <anchor moveWithCells="1">
              <from>
                <xdr:col>6</xdr:col>
                <xdr:colOff>9525</xdr:colOff>
                <xdr:row>8</xdr:row>
                <xdr:rowOff>152400</xdr:rowOff>
              </from>
              <to>
                <xdr:col>7</xdr:col>
                <xdr:colOff>981075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4" name="Button 9">
          <controlPr defaultSize="0" print="0" autoFill="0" autoPict="0" macro="[0]!Menu_Principal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333375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91"/>
  <sheetViews>
    <sheetView topLeftCell="I1" workbookViewId="0">
      <pane ySplit="1" topLeftCell="A2" activePane="bottomLeft" state="frozen"/>
      <selection pane="bottomLeft" activeCell="U5" sqref="U5"/>
    </sheetView>
  </sheetViews>
  <sheetFormatPr baseColWidth="10" defaultRowHeight="15" x14ac:dyDescent="0.25"/>
  <cols>
    <col min="1" max="1" width="12.7109375" bestFit="1" customWidth="1"/>
    <col min="2" max="2" width="21.85546875" customWidth="1"/>
    <col min="3" max="3" width="12.5703125" style="1" bestFit="1" customWidth="1"/>
    <col min="4" max="4" width="14.7109375" bestFit="1" customWidth="1"/>
    <col min="5" max="5" width="11.5703125" style="1"/>
    <col min="6" max="6" width="16" style="1" bestFit="1" customWidth="1"/>
    <col min="7" max="7" width="11.5703125" style="1"/>
    <col min="8" max="8" width="16.7109375" style="1" bestFit="1" customWidth="1"/>
    <col min="9" max="10" width="11.5703125" style="1"/>
    <col min="11" max="11" width="16.7109375" customWidth="1"/>
    <col min="12" max="12" width="21.7109375" bestFit="1" customWidth="1"/>
    <col min="13" max="13" width="20.5703125" bestFit="1" customWidth="1"/>
    <col min="14" max="14" width="16.5703125" style="1" bestFit="1" customWidth="1"/>
    <col min="15" max="15" width="11.5703125" style="1"/>
    <col min="16" max="16" width="5.5703125" style="1" bestFit="1" customWidth="1"/>
    <col min="17" max="17" width="15.140625" style="1" bestFit="1" customWidth="1"/>
    <col min="18" max="18" width="16.7109375" customWidth="1"/>
    <col min="19" max="19" width="11.5703125" style="1"/>
  </cols>
  <sheetData>
    <row r="1" spans="1:27" s="2" customFormat="1" x14ac:dyDescent="0.25">
      <c r="A1" s="2" t="s">
        <v>16</v>
      </c>
      <c r="B1" s="2" t="s">
        <v>0</v>
      </c>
      <c r="C1" s="2" t="s">
        <v>18</v>
      </c>
      <c r="D1" s="2" t="s">
        <v>1</v>
      </c>
      <c r="E1" s="2" t="s">
        <v>2</v>
      </c>
      <c r="F1" s="2" t="s">
        <v>17</v>
      </c>
      <c r="G1" s="2" t="s">
        <v>11</v>
      </c>
      <c r="H1" s="2" t="s">
        <v>3</v>
      </c>
      <c r="I1" s="2" t="s">
        <v>4</v>
      </c>
      <c r="J1" s="2" t="s">
        <v>5</v>
      </c>
      <c r="K1" s="2" t="s">
        <v>14</v>
      </c>
      <c r="L1" s="2" t="s">
        <v>12</v>
      </c>
      <c r="M1" s="2" t="s">
        <v>13</v>
      </c>
      <c r="N1" s="2" t="s">
        <v>6</v>
      </c>
      <c r="O1" s="2" t="s">
        <v>7</v>
      </c>
      <c r="P1" s="2" t="s">
        <v>8</v>
      </c>
      <c r="Q1" s="2" t="s">
        <v>9</v>
      </c>
      <c r="R1" s="2" t="s">
        <v>15</v>
      </c>
      <c r="S1" s="2" t="s">
        <v>10</v>
      </c>
      <c r="U1" s="2" t="s">
        <v>209</v>
      </c>
      <c r="V1" s="2" t="s">
        <v>211</v>
      </c>
      <c r="W1" s="2" t="s">
        <v>212</v>
      </c>
      <c r="X1" s="2" t="s">
        <v>213</v>
      </c>
      <c r="Z1" s="2" t="s">
        <v>214</v>
      </c>
      <c r="AA1" s="2" t="s">
        <v>215</v>
      </c>
    </row>
    <row r="2" spans="1:27" x14ac:dyDescent="0.25">
      <c r="A2" t="s">
        <v>19</v>
      </c>
      <c r="B2" s="13" t="s">
        <v>20</v>
      </c>
      <c r="C2" s="1" t="s">
        <v>24</v>
      </c>
      <c r="D2" s="3" t="s">
        <v>25</v>
      </c>
      <c r="E2" s="6">
        <v>199</v>
      </c>
      <c r="F2" s="5" t="s">
        <v>29</v>
      </c>
      <c r="G2" s="1" t="s">
        <v>30</v>
      </c>
      <c r="H2" s="1" t="s">
        <v>64</v>
      </c>
      <c r="I2" s="1" t="s">
        <v>65</v>
      </c>
      <c r="J2" s="1" t="s">
        <v>70</v>
      </c>
      <c r="L2" s="1" t="s">
        <v>74</v>
      </c>
      <c r="P2" s="1" t="s">
        <v>75</v>
      </c>
      <c r="Q2" s="1" t="s">
        <v>84</v>
      </c>
      <c r="S2" s="1" t="s">
        <v>86</v>
      </c>
      <c r="U2" t="b">
        <f>IF(Calcul!$F$2="Constructeur",TRUE,Calcul!$F$2=Source!A2)</f>
        <v>1</v>
      </c>
      <c r="V2" t="b">
        <f>IF(Calcul!$G$2="Mono/Bino",TRUE,Calcul!$G$2=Source!G2)</f>
        <v>1</v>
      </c>
      <c r="W2" t="b">
        <f>IF(Calcul!$H$2="Connectivité",TRUE,Calcul!$H$2=Source!F2)</f>
        <v>1</v>
      </c>
      <c r="X2" t="b">
        <f t="shared" ref="X2:X33" si="0">AND(U2:W2)</f>
        <v>1</v>
      </c>
      <c r="Z2">
        <f>IF(X2,ROWS($X$2:X2),"")</f>
        <v>1</v>
      </c>
      <c r="AA2">
        <f>IFERROR(SMALL($Z$2:$Z$86,ROWS(Z2:$Z$2)),"")</f>
        <v>1</v>
      </c>
    </row>
    <row r="3" spans="1:27" x14ac:dyDescent="0.25">
      <c r="A3" t="s">
        <v>19</v>
      </c>
      <c r="B3" s="13" t="s">
        <v>21</v>
      </c>
      <c r="C3" s="1" t="s">
        <v>24</v>
      </c>
      <c r="D3" s="3" t="s">
        <v>26</v>
      </c>
      <c r="E3" s="6">
        <v>199</v>
      </c>
      <c r="F3" s="5" t="s">
        <v>29</v>
      </c>
      <c r="G3" s="1" t="s">
        <v>30</v>
      </c>
      <c r="H3" s="1" t="s">
        <v>64</v>
      </c>
      <c r="I3" s="1" t="s">
        <v>65</v>
      </c>
      <c r="J3" s="1" t="s">
        <v>70</v>
      </c>
      <c r="L3" s="1" t="s">
        <v>74</v>
      </c>
      <c r="P3" s="1" t="s">
        <v>75</v>
      </c>
      <c r="Q3" s="1" t="s">
        <v>85</v>
      </c>
      <c r="S3" s="1" t="s">
        <v>86</v>
      </c>
      <c r="U3" t="b">
        <f>IF(Calcul!$F$2="Constructeur",TRUE,Calcul!$F$2=Source!A3)</f>
        <v>1</v>
      </c>
      <c r="V3" t="b">
        <f>IF(Calcul!$G$2="Mono/Bino",TRUE,Calcul!$G$2=Source!G3)</f>
        <v>1</v>
      </c>
      <c r="W3" t="b">
        <f>IF(Calcul!$H$2="Connectivité",TRUE,Calcul!$H$2=Source!F3)</f>
        <v>1</v>
      </c>
      <c r="X3" t="b">
        <f t="shared" si="0"/>
        <v>1</v>
      </c>
      <c r="Z3">
        <f>IF(X3,ROWS($X$2:X3),"")</f>
        <v>2</v>
      </c>
      <c r="AA3">
        <f>IFERROR(SMALL($Z$2:$Z$86,ROWS(Z$2:$Z3)),"")</f>
        <v>2</v>
      </c>
    </row>
    <row r="4" spans="1:27" x14ac:dyDescent="0.25">
      <c r="A4" t="s">
        <v>19</v>
      </c>
      <c r="B4" s="13" t="s">
        <v>22</v>
      </c>
      <c r="C4" s="1" t="s">
        <v>24</v>
      </c>
      <c r="D4" s="3" t="s">
        <v>27</v>
      </c>
      <c r="E4" s="6">
        <v>269</v>
      </c>
      <c r="F4" s="5" t="s">
        <v>29</v>
      </c>
      <c r="G4" s="1" t="s">
        <v>31</v>
      </c>
      <c r="H4" s="1" t="s">
        <v>64</v>
      </c>
      <c r="I4" s="1" t="s">
        <v>65</v>
      </c>
      <c r="J4" s="1" t="s">
        <v>70</v>
      </c>
      <c r="L4" s="1" t="s">
        <v>74</v>
      </c>
      <c r="P4" s="1" t="s">
        <v>76</v>
      </c>
      <c r="Q4" s="1" t="s">
        <v>84</v>
      </c>
      <c r="S4" s="1" t="s">
        <v>86</v>
      </c>
      <c r="U4" t="b">
        <f>IF(Calcul!$F$2="Constructeur",TRUE,Calcul!$F$2=Source!A4)</f>
        <v>1</v>
      </c>
      <c r="V4" t="b">
        <f>IF(Calcul!$G$2="Mono/Bino",TRUE,Calcul!$G$2=Source!G4)</f>
        <v>1</v>
      </c>
      <c r="W4" t="b">
        <f>IF(Calcul!$H$2="Connectivité",TRUE,Calcul!$H$2=Source!F4)</f>
        <v>1</v>
      </c>
      <c r="X4" t="b">
        <f t="shared" si="0"/>
        <v>1</v>
      </c>
      <c r="Z4">
        <f>IF(X4,ROWS($X$2:X4),"")</f>
        <v>3</v>
      </c>
      <c r="AA4">
        <f>IFERROR(SMALL($Z$2:$Z$86,ROWS(Z$2:$Z4)),"")</f>
        <v>3</v>
      </c>
    </row>
    <row r="5" spans="1:27" x14ac:dyDescent="0.25">
      <c r="A5" t="s">
        <v>19</v>
      </c>
      <c r="B5" s="13" t="s">
        <v>23</v>
      </c>
      <c r="C5" s="1" t="s">
        <v>24</v>
      </c>
      <c r="D5" s="3" t="s">
        <v>28</v>
      </c>
      <c r="E5" s="6">
        <v>269</v>
      </c>
      <c r="F5" s="5" t="s">
        <v>29</v>
      </c>
      <c r="G5" s="1" t="s">
        <v>31</v>
      </c>
      <c r="H5" s="1" t="s">
        <v>64</v>
      </c>
      <c r="I5" s="1" t="s">
        <v>65</v>
      </c>
      <c r="J5" s="1" t="s">
        <v>70</v>
      </c>
      <c r="L5" s="1" t="s">
        <v>74</v>
      </c>
      <c r="P5" s="1" t="s">
        <v>76</v>
      </c>
      <c r="Q5" s="1" t="s">
        <v>85</v>
      </c>
      <c r="S5" s="1" t="s">
        <v>86</v>
      </c>
      <c r="U5" t="b">
        <f>IF(Calcul!$F$2="Constructeur",TRUE,Calcul!$F$2=Source!A5)</f>
        <v>1</v>
      </c>
      <c r="V5" t="b">
        <f>IF(Calcul!$G$2="Mono/Bino",TRUE,Calcul!$G$2=Source!G5)</f>
        <v>1</v>
      </c>
      <c r="W5" t="b">
        <f>IF(Calcul!$H$2="Connectivité",TRUE,Calcul!$H$2=Source!F5)</f>
        <v>1</v>
      </c>
      <c r="X5" t="b">
        <f t="shared" si="0"/>
        <v>1</v>
      </c>
      <c r="Z5">
        <f>IF(X5,ROWS($X$2:X5),"")</f>
        <v>4</v>
      </c>
      <c r="AA5">
        <f>IFERROR(SMALL($Z$2:$Z$86,ROWS(Z$2:$Z5)),"")</f>
        <v>4</v>
      </c>
    </row>
    <row r="6" spans="1:27" x14ac:dyDescent="0.25">
      <c r="A6" t="s">
        <v>32</v>
      </c>
      <c r="B6" s="13" t="s">
        <v>41</v>
      </c>
      <c r="C6" s="1" t="s">
        <v>24</v>
      </c>
      <c r="D6" s="3" t="s">
        <v>33</v>
      </c>
      <c r="E6" s="6">
        <v>249</v>
      </c>
      <c r="F6" s="5" t="s">
        <v>29</v>
      </c>
      <c r="G6" s="1" t="s">
        <v>30</v>
      </c>
      <c r="H6" s="1" t="s">
        <v>64</v>
      </c>
      <c r="I6" s="1" t="s">
        <v>66</v>
      </c>
      <c r="J6" s="1" t="s">
        <v>71</v>
      </c>
      <c r="L6" s="1" t="s">
        <v>74</v>
      </c>
      <c r="P6" s="1" t="s">
        <v>77</v>
      </c>
      <c r="Q6" s="1" t="s">
        <v>84</v>
      </c>
      <c r="S6" s="1" t="s">
        <v>87</v>
      </c>
      <c r="U6" t="b">
        <f>IF(Calcul!$F$2="Constructeur",TRUE,Calcul!$F$2=Source!A6)</f>
        <v>1</v>
      </c>
      <c r="V6" t="b">
        <f>IF(Calcul!$G$2="Mono/Bino",TRUE,Calcul!$G$2=Source!G6)</f>
        <v>1</v>
      </c>
      <c r="W6" t="b">
        <f>IF(Calcul!$H$2="Connectivité",TRUE,Calcul!$H$2=Source!F6)</f>
        <v>1</v>
      </c>
      <c r="X6" t="b">
        <f t="shared" si="0"/>
        <v>1</v>
      </c>
      <c r="Z6">
        <f>IF(X6,ROWS($X$2:X6),"")</f>
        <v>5</v>
      </c>
      <c r="AA6">
        <f>IFERROR(SMALL($Z$2:$Z$86,ROWS(Z$2:$Z6)),"")</f>
        <v>5</v>
      </c>
    </row>
    <row r="7" spans="1:27" x14ac:dyDescent="0.25">
      <c r="A7" t="s">
        <v>32</v>
      </c>
      <c r="B7" s="13" t="s">
        <v>42</v>
      </c>
      <c r="C7" s="1" t="s">
        <v>24</v>
      </c>
      <c r="D7" s="3" t="s">
        <v>34</v>
      </c>
      <c r="E7" s="6">
        <v>249</v>
      </c>
      <c r="F7" s="5" t="s">
        <v>29</v>
      </c>
      <c r="G7" s="1" t="s">
        <v>30</v>
      </c>
      <c r="H7" s="1" t="s">
        <v>64</v>
      </c>
      <c r="I7" s="1" t="s">
        <v>66</v>
      </c>
      <c r="J7" s="1" t="s">
        <v>71</v>
      </c>
      <c r="L7" s="1" t="s">
        <v>74</v>
      </c>
      <c r="P7" s="1" t="s">
        <v>77</v>
      </c>
      <c r="Q7" s="1" t="s">
        <v>85</v>
      </c>
      <c r="S7" s="1" t="s">
        <v>87</v>
      </c>
      <c r="U7" t="b">
        <f>IF(Calcul!$F$2="Constructeur",TRUE,Calcul!$F$2=Source!A7)</f>
        <v>1</v>
      </c>
      <c r="V7" t="b">
        <f>IF(Calcul!$G$2="Mono/Bino",TRUE,Calcul!$G$2=Source!G7)</f>
        <v>1</v>
      </c>
      <c r="W7" t="b">
        <f>IF(Calcul!$H$2="Connectivité",TRUE,Calcul!$H$2=Source!F7)</f>
        <v>1</v>
      </c>
      <c r="X7" t="b">
        <f t="shared" si="0"/>
        <v>1</v>
      </c>
      <c r="Z7">
        <f>IF(X7,ROWS($X$2:X7),"")</f>
        <v>6</v>
      </c>
      <c r="AA7">
        <f>IFERROR(SMALL($Z$2:$Z$86,ROWS(Z$2:$Z7)),"")</f>
        <v>6</v>
      </c>
    </row>
    <row r="8" spans="1:27" x14ac:dyDescent="0.25">
      <c r="A8" t="s">
        <v>32</v>
      </c>
      <c r="B8" s="13" t="s">
        <v>43</v>
      </c>
      <c r="C8" s="1" t="s">
        <v>24</v>
      </c>
      <c r="D8" s="3" t="s">
        <v>35</v>
      </c>
      <c r="E8" s="6">
        <v>279</v>
      </c>
      <c r="F8" s="5" t="s">
        <v>29</v>
      </c>
      <c r="G8" s="1" t="s">
        <v>31</v>
      </c>
      <c r="H8" s="1" t="s">
        <v>64</v>
      </c>
      <c r="I8" s="1" t="s">
        <v>66</v>
      </c>
      <c r="J8" s="1" t="s">
        <v>71</v>
      </c>
      <c r="L8" s="1" t="s">
        <v>74</v>
      </c>
      <c r="P8" s="1" t="s">
        <v>78</v>
      </c>
      <c r="Q8" s="1" t="s">
        <v>84</v>
      </c>
      <c r="S8" s="1" t="s">
        <v>87</v>
      </c>
      <c r="U8" t="b">
        <f>IF(Calcul!$F$2="Constructeur",TRUE,Calcul!$F$2=Source!A8)</f>
        <v>1</v>
      </c>
      <c r="V8" t="b">
        <f>IF(Calcul!$G$2="Mono/Bino",TRUE,Calcul!$G$2=Source!G8)</f>
        <v>1</v>
      </c>
      <c r="W8" t="b">
        <f>IF(Calcul!$H$2="Connectivité",TRUE,Calcul!$H$2=Source!F8)</f>
        <v>1</v>
      </c>
      <c r="X8" t="b">
        <f t="shared" si="0"/>
        <v>1</v>
      </c>
      <c r="Z8">
        <f>IF(X8,ROWS($X$2:X8),"")</f>
        <v>7</v>
      </c>
      <c r="AA8">
        <f>IFERROR(SMALL($Z$2:$Z$86,ROWS(Z$2:$Z8)),"")</f>
        <v>7</v>
      </c>
    </row>
    <row r="9" spans="1:27" x14ac:dyDescent="0.25">
      <c r="A9" t="s">
        <v>32</v>
      </c>
      <c r="B9" s="13" t="s">
        <v>44</v>
      </c>
      <c r="C9" s="1" t="s">
        <v>24</v>
      </c>
      <c r="D9" s="3" t="s">
        <v>36</v>
      </c>
      <c r="E9" s="6">
        <v>279</v>
      </c>
      <c r="F9" s="5" t="s">
        <v>29</v>
      </c>
      <c r="G9" s="1" t="s">
        <v>31</v>
      </c>
      <c r="H9" s="1" t="s">
        <v>64</v>
      </c>
      <c r="I9" s="1" t="s">
        <v>66</v>
      </c>
      <c r="J9" s="1" t="s">
        <v>71</v>
      </c>
      <c r="L9" s="1" t="s">
        <v>74</v>
      </c>
      <c r="P9" s="1" t="s">
        <v>78</v>
      </c>
      <c r="Q9" s="1" t="s">
        <v>85</v>
      </c>
      <c r="S9" s="1" t="s">
        <v>87</v>
      </c>
      <c r="U9" t="b">
        <f>IF(Calcul!$F$2="Constructeur",TRUE,Calcul!$F$2=Source!A9)</f>
        <v>1</v>
      </c>
      <c r="V9" t="b">
        <f>IF(Calcul!$G$2="Mono/Bino",TRUE,Calcul!$G$2=Source!G9)</f>
        <v>1</v>
      </c>
      <c r="W9" t="b">
        <f>IF(Calcul!$H$2="Connectivité",TRUE,Calcul!$H$2=Source!F9)</f>
        <v>1</v>
      </c>
      <c r="X9" t="b">
        <f t="shared" si="0"/>
        <v>1</v>
      </c>
      <c r="Z9">
        <f>IF(X9,ROWS($X$2:X9),"")</f>
        <v>8</v>
      </c>
      <c r="AA9">
        <f>IFERROR(SMALL($Z$2:$Z$86,ROWS(Z$2:$Z9)),"")</f>
        <v>8</v>
      </c>
    </row>
    <row r="10" spans="1:27" x14ac:dyDescent="0.25">
      <c r="A10" t="s">
        <v>32</v>
      </c>
      <c r="B10" s="13" t="s">
        <v>45</v>
      </c>
      <c r="C10" s="1" t="s">
        <v>24</v>
      </c>
      <c r="D10" s="3" t="s">
        <v>37</v>
      </c>
      <c r="E10" s="6">
        <v>249</v>
      </c>
      <c r="F10" s="5" t="s">
        <v>29</v>
      </c>
      <c r="G10" s="1" t="s">
        <v>30</v>
      </c>
      <c r="H10" s="1" t="s">
        <v>64</v>
      </c>
      <c r="I10" s="1" t="s">
        <v>67</v>
      </c>
      <c r="J10" s="1" t="s">
        <v>72</v>
      </c>
      <c r="L10" s="1" t="s">
        <v>74</v>
      </c>
      <c r="P10" s="1" t="s">
        <v>79</v>
      </c>
      <c r="Q10" s="1" t="s">
        <v>84</v>
      </c>
      <c r="S10" s="1" t="s">
        <v>87</v>
      </c>
      <c r="U10" t="b">
        <f>IF(Calcul!$F$2="Constructeur",TRUE,Calcul!$F$2=Source!A10)</f>
        <v>1</v>
      </c>
      <c r="V10" t="b">
        <f>IF(Calcul!$G$2="Mono/Bino",TRUE,Calcul!$G$2=Source!G10)</f>
        <v>1</v>
      </c>
      <c r="W10" t="b">
        <f>IF(Calcul!$H$2="Connectivité",TRUE,Calcul!$H$2=Source!F10)</f>
        <v>1</v>
      </c>
      <c r="X10" t="b">
        <f t="shared" si="0"/>
        <v>1</v>
      </c>
      <c r="Z10">
        <f>IF(X10,ROWS($X$2:X10),"")</f>
        <v>9</v>
      </c>
      <c r="AA10">
        <f>IFERROR(SMALL($Z$2:$Z$86,ROWS(Z$2:$Z10)),"")</f>
        <v>9</v>
      </c>
    </row>
    <row r="11" spans="1:27" x14ac:dyDescent="0.25">
      <c r="A11" t="s">
        <v>32</v>
      </c>
      <c r="B11" s="13" t="s">
        <v>46</v>
      </c>
      <c r="C11" s="1" t="s">
        <v>24</v>
      </c>
      <c r="D11" s="3" t="s">
        <v>38</v>
      </c>
      <c r="E11" s="6">
        <v>249</v>
      </c>
      <c r="F11" s="5" t="s">
        <v>29</v>
      </c>
      <c r="G11" s="1" t="s">
        <v>30</v>
      </c>
      <c r="H11" s="1" t="s">
        <v>64</v>
      </c>
      <c r="I11" s="1" t="s">
        <v>67</v>
      </c>
      <c r="J11" s="1" t="s">
        <v>72</v>
      </c>
      <c r="L11" s="1" t="s">
        <v>74</v>
      </c>
      <c r="P11" s="1" t="s">
        <v>79</v>
      </c>
      <c r="Q11" s="1" t="s">
        <v>85</v>
      </c>
      <c r="S11" s="1" t="s">
        <v>87</v>
      </c>
      <c r="U11" t="b">
        <f>IF(Calcul!$F$2="Constructeur",TRUE,Calcul!$F$2=Source!A11)</f>
        <v>1</v>
      </c>
      <c r="V11" t="b">
        <f>IF(Calcul!$G$2="Mono/Bino",TRUE,Calcul!$G$2=Source!G11)</f>
        <v>1</v>
      </c>
      <c r="W11" t="b">
        <f>IF(Calcul!$H$2="Connectivité",TRUE,Calcul!$H$2=Source!F11)</f>
        <v>1</v>
      </c>
      <c r="X11" t="b">
        <f t="shared" si="0"/>
        <v>1</v>
      </c>
      <c r="Z11">
        <f>IF(X11,ROWS($X$2:X11),"")</f>
        <v>10</v>
      </c>
      <c r="AA11">
        <f>IFERROR(SMALL($Z$2:$Z$86,ROWS(Z$2:$Z11)),"")</f>
        <v>10</v>
      </c>
    </row>
    <row r="12" spans="1:27" x14ac:dyDescent="0.25">
      <c r="A12" t="s">
        <v>32</v>
      </c>
      <c r="B12" s="13" t="s">
        <v>47</v>
      </c>
      <c r="C12" s="1" t="s">
        <v>24</v>
      </c>
      <c r="D12" s="3" t="s">
        <v>39</v>
      </c>
      <c r="E12" s="6">
        <v>249</v>
      </c>
      <c r="F12" s="5" t="s">
        <v>29</v>
      </c>
      <c r="G12" s="1" t="s">
        <v>30</v>
      </c>
      <c r="H12" s="1" t="s">
        <v>64</v>
      </c>
      <c r="I12" s="1" t="s">
        <v>68</v>
      </c>
      <c r="J12" s="1" t="s">
        <v>72</v>
      </c>
      <c r="L12" s="1" t="s">
        <v>74</v>
      </c>
      <c r="P12" s="1" t="s">
        <v>80</v>
      </c>
      <c r="Q12" s="1" t="s">
        <v>84</v>
      </c>
      <c r="S12" s="1" t="s">
        <v>87</v>
      </c>
      <c r="U12" t="b">
        <f>IF(Calcul!$F$2="Constructeur",TRUE,Calcul!$F$2=Source!A12)</f>
        <v>1</v>
      </c>
      <c r="V12" t="b">
        <f>IF(Calcul!$G$2="Mono/Bino",TRUE,Calcul!$G$2=Source!G12)</f>
        <v>1</v>
      </c>
      <c r="W12" t="b">
        <f>IF(Calcul!$H$2="Connectivité",TRUE,Calcul!$H$2=Source!F12)</f>
        <v>1</v>
      </c>
      <c r="X12" t="b">
        <f t="shared" si="0"/>
        <v>1</v>
      </c>
      <c r="Z12">
        <f>IF(X12,ROWS($X$2:X12),"")</f>
        <v>11</v>
      </c>
      <c r="AA12">
        <f>IFERROR(SMALL($Z$2:$Z$86,ROWS(Z$2:$Z12)),"")</f>
        <v>11</v>
      </c>
    </row>
    <row r="13" spans="1:27" x14ac:dyDescent="0.25">
      <c r="A13" t="s">
        <v>32</v>
      </c>
      <c r="B13" s="13" t="s">
        <v>48</v>
      </c>
      <c r="C13" s="1" t="s">
        <v>24</v>
      </c>
      <c r="D13" s="3" t="s">
        <v>40</v>
      </c>
      <c r="E13" s="6">
        <v>249</v>
      </c>
      <c r="F13" s="5" t="s">
        <v>29</v>
      </c>
      <c r="G13" s="1" t="s">
        <v>30</v>
      </c>
      <c r="H13" s="1" t="s">
        <v>64</v>
      </c>
      <c r="I13" s="1" t="s">
        <v>68</v>
      </c>
      <c r="J13" s="1" t="s">
        <v>72</v>
      </c>
      <c r="L13" s="1" t="s">
        <v>74</v>
      </c>
      <c r="P13" s="1" t="s">
        <v>80</v>
      </c>
      <c r="Q13" s="1" t="s">
        <v>85</v>
      </c>
      <c r="S13" s="1" t="s">
        <v>87</v>
      </c>
      <c r="U13" t="b">
        <f>IF(Calcul!$F$2="Constructeur",TRUE,Calcul!$F$2=Source!A13)</f>
        <v>1</v>
      </c>
      <c r="V13" t="b">
        <f>IF(Calcul!$G$2="Mono/Bino",TRUE,Calcul!$G$2=Source!G13)</f>
        <v>1</v>
      </c>
      <c r="W13" t="b">
        <f>IF(Calcul!$H$2="Connectivité",TRUE,Calcul!$H$2=Source!F13)</f>
        <v>1</v>
      </c>
      <c r="X13" t="b">
        <f t="shared" si="0"/>
        <v>1</v>
      </c>
      <c r="Z13">
        <f>IF(X13,ROWS($X$2:X13),"")</f>
        <v>12</v>
      </c>
      <c r="AA13">
        <f>IFERROR(SMALL($Z$2:$Z$86,ROWS(Z$2:$Z13)),"")</f>
        <v>12</v>
      </c>
    </row>
    <row r="14" spans="1:27" x14ac:dyDescent="0.25">
      <c r="A14" t="s">
        <v>55</v>
      </c>
      <c r="B14" s="13" t="s">
        <v>56</v>
      </c>
      <c r="C14" s="8" t="s">
        <v>24</v>
      </c>
      <c r="D14" s="3">
        <v>506412</v>
      </c>
      <c r="E14" s="6">
        <v>239</v>
      </c>
      <c r="F14" s="5" t="s">
        <v>29</v>
      </c>
      <c r="G14" s="1" t="s">
        <v>30</v>
      </c>
      <c r="H14" s="1" t="s">
        <v>64</v>
      </c>
      <c r="I14" s="1" t="s">
        <v>69</v>
      </c>
      <c r="J14" s="1" t="s">
        <v>73</v>
      </c>
      <c r="L14" s="1" t="s">
        <v>74</v>
      </c>
      <c r="P14" s="1" t="s">
        <v>81</v>
      </c>
      <c r="Q14" s="1" t="s">
        <v>84</v>
      </c>
      <c r="S14" s="1" t="s">
        <v>87</v>
      </c>
      <c r="U14" t="b">
        <f>IF(Calcul!$F$2="Constructeur",TRUE,Calcul!$F$2=Source!A14)</f>
        <v>1</v>
      </c>
      <c r="V14" t="b">
        <f>IF(Calcul!$G$2="Mono/Bino",TRUE,Calcul!$G$2=Source!G14)</f>
        <v>1</v>
      </c>
      <c r="W14" t="b">
        <f>IF(Calcul!$H$2="Connectivité",TRUE,Calcul!$H$2=Source!F14)</f>
        <v>1</v>
      </c>
      <c r="X14" t="b">
        <f t="shared" si="0"/>
        <v>1</v>
      </c>
      <c r="Z14">
        <f>IF(X14,ROWS($X$2:X14),"")</f>
        <v>13</v>
      </c>
      <c r="AA14">
        <f>IFERROR(SMALL($Z$2:$Z$86,ROWS(Z$2:$Z14)),"")</f>
        <v>13</v>
      </c>
    </row>
    <row r="15" spans="1:27" x14ac:dyDescent="0.25">
      <c r="A15" t="s">
        <v>55</v>
      </c>
      <c r="B15" s="13" t="s">
        <v>57</v>
      </c>
      <c r="C15" s="1" t="s">
        <v>24</v>
      </c>
      <c r="D15" s="3">
        <v>506416</v>
      </c>
      <c r="E15" s="6">
        <v>239</v>
      </c>
      <c r="F15" s="5" t="s">
        <v>29</v>
      </c>
      <c r="G15" s="1" t="s">
        <v>30</v>
      </c>
      <c r="H15" s="1" t="s">
        <v>64</v>
      </c>
      <c r="I15" s="1" t="s">
        <v>69</v>
      </c>
      <c r="J15" s="1" t="s">
        <v>73</v>
      </c>
      <c r="L15" s="1" t="s">
        <v>74</v>
      </c>
      <c r="P15" s="1" t="s">
        <v>81</v>
      </c>
      <c r="Q15" s="1" t="s">
        <v>85</v>
      </c>
      <c r="S15" s="1" t="s">
        <v>87</v>
      </c>
      <c r="U15" t="b">
        <f>IF(Calcul!$F$2="Constructeur",TRUE,Calcul!$F$2=Source!A15)</f>
        <v>1</v>
      </c>
      <c r="V15" t="b">
        <f>IF(Calcul!$G$2="Mono/Bino",TRUE,Calcul!$G$2=Source!G15)</f>
        <v>1</v>
      </c>
      <c r="W15" t="b">
        <f>IF(Calcul!$H$2="Connectivité",TRUE,Calcul!$H$2=Source!F15)</f>
        <v>1</v>
      </c>
      <c r="X15" t="b">
        <f t="shared" si="0"/>
        <v>1</v>
      </c>
      <c r="Z15">
        <f>IF(X15,ROWS($X$2:X15),"")</f>
        <v>14</v>
      </c>
      <c r="AA15">
        <f>IFERROR(SMALL($Z$2:$Z$86,ROWS(Z$2:$Z15)),"")</f>
        <v>14</v>
      </c>
    </row>
    <row r="16" spans="1:27" x14ac:dyDescent="0.25">
      <c r="A16" t="s">
        <v>55</v>
      </c>
      <c r="B16" s="13" t="s">
        <v>58</v>
      </c>
      <c r="C16" s="1" t="s">
        <v>24</v>
      </c>
      <c r="D16" s="3">
        <v>504312</v>
      </c>
      <c r="E16" s="6">
        <v>299</v>
      </c>
      <c r="F16" s="5" t="s">
        <v>29</v>
      </c>
      <c r="G16" s="1" t="s">
        <v>30</v>
      </c>
      <c r="H16" s="1" t="s">
        <v>64</v>
      </c>
      <c r="I16" s="1" t="s">
        <v>69</v>
      </c>
      <c r="J16" s="1" t="s">
        <v>73</v>
      </c>
      <c r="L16" s="1" t="s">
        <v>74</v>
      </c>
      <c r="P16" s="1" t="s">
        <v>81</v>
      </c>
      <c r="Q16" s="1" t="s">
        <v>84</v>
      </c>
      <c r="S16" s="1" t="s">
        <v>87</v>
      </c>
      <c r="U16" t="b">
        <f>IF(Calcul!$F$2="Constructeur",TRUE,Calcul!$F$2=Source!A16)</f>
        <v>1</v>
      </c>
      <c r="V16" t="b">
        <f>IF(Calcul!$G$2="Mono/Bino",TRUE,Calcul!$G$2=Source!G16)</f>
        <v>1</v>
      </c>
      <c r="W16" t="b">
        <f>IF(Calcul!$H$2="Connectivité",TRUE,Calcul!$H$2=Source!F16)</f>
        <v>1</v>
      </c>
      <c r="X16" t="b">
        <f t="shared" si="0"/>
        <v>1</v>
      </c>
      <c r="Z16">
        <f>IF(X16,ROWS($X$2:X16),"")</f>
        <v>15</v>
      </c>
      <c r="AA16">
        <f>IFERROR(SMALL($Z$2:$Z$86,ROWS(Z$2:$Z16)),"")</f>
        <v>15</v>
      </c>
    </row>
    <row r="17" spans="1:27" x14ac:dyDescent="0.25">
      <c r="A17" t="s">
        <v>55</v>
      </c>
      <c r="B17" s="13" t="s">
        <v>59</v>
      </c>
      <c r="C17" s="1" t="s">
        <v>24</v>
      </c>
      <c r="D17" s="3">
        <v>504466</v>
      </c>
      <c r="E17" s="29">
        <v>299</v>
      </c>
      <c r="F17" s="5" t="s">
        <v>29</v>
      </c>
      <c r="G17" s="1" t="s">
        <v>30</v>
      </c>
      <c r="H17" s="1" t="s">
        <v>64</v>
      </c>
      <c r="I17" s="1" t="s">
        <v>69</v>
      </c>
      <c r="J17" s="1" t="s">
        <v>73</v>
      </c>
      <c r="L17" s="1" t="s">
        <v>74</v>
      </c>
      <c r="P17" s="1" t="s">
        <v>81</v>
      </c>
      <c r="Q17" s="1" t="s">
        <v>85</v>
      </c>
      <c r="S17" s="1" t="s">
        <v>87</v>
      </c>
      <c r="U17" t="b">
        <f>IF(Calcul!$F$2="Constructeur",TRUE,Calcul!$F$2=Source!A17)</f>
        <v>1</v>
      </c>
      <c r="V17" t="b">
        <f>IF(Calcul!$G$2="Mono/Bino",TRUE,Calcul!$G$2=Source!G17)</f>
        <v>1</v>
      </c>
      <c r="W17" t="b">
        <f>IF(Calcul!$H$2="Connectivité",TRUE,Calcul!$H$2=Source!F17)</f>
        <v>1</v>
      </c>
      <c r="X17" t="b">
        <f t="shared" si="0"/>
        <v>1</v>
      </c>
      <c r="Z17">
        <f>IF(X17,ROWS($X$2:X17),"")</f>
        <v>16</v>
      </c>
      <c r="AA17">
        <f>IFERROR(SMALL($Z$2:$Z$86,ROWS(Z$2:$Z17)),"")</f>
        <v>16</v>
      </c>
    </row>
    <row r="18" spans="1:27" x14ac:dyDescent="0.25">
      <c r="A18" t="s">
        <v>55</v>
      </c>
      <c r="B18" s="13" t="s">
        <v>60</v>
      </c>
      <c r="C18" s="1" t="s">
        <v>24</v>
      </c>
      <c r="D18" s="3">
        <v>504316</v>
      </c>
      <c r="E18" s="30">
        <v>210</v>
      </c>
      <c r="F18" s="5" t="s">
        <v>29</v>
      </c>
      <c r="G18" s="1" t="s">
        <v>30</v>
      </c>
      <c r="H18" s="1" t="s">
        <v>64</v>
      </c>
      <c r="I18" s="1" t="s">
        <v>69</v>
      </c>
      <c r="J18" s="1" t="s">
        <v>73</v>
      </c>
      <c r="L18" s="1" t="s">
        <v>74</v>
      </c>
      <c r="P18" s="1" t="s">
        <v>82</v>
      </c>
      <c r="Q18" s="1" t="s">
        <v>84</v>
      </c>
      <c r="S18" s="1" t="s">
        <v>87</v>
      </c>
      <c r="U18" t="b">
        <f>IF(Calcul!$F$2="Constructeur",TRUE,Calcul!$F$2=Source!A18)</f>
        <v>1</v>
      </c>
      <c r="V18" t="b">
        <f>IF(Calcul!$G$2="Mono/Bino",TRUE,Calcul!$G$2=Source!G18)</f>
        <v>1</v>
      </c>
      <c r="W18" t="b">
        <f>IF(Calcul!$H$2="Connectivité",TRUE,Calcul!$H$2=Source!F18)</f>
        <v>1</v>
      </c>
      <c r="X18" t="b">
        <f t="shared" si="0"/>
        <v>1</v>
      </c>
      <c r="Z18">
        <f>IF(X18,ROWS($X$2:X18),"")</f>
        <v>17</v>
      </c>
      <c r="AA18">
        <f>IFERROR(SMALL($Z$2:$Z$86,ROWS(Z$2:$Z18)),"")</f>
        <v>17</v>
      </c>
    </row>
    <row r="19" spans="1:27" x14ac:dyDescent="0.25">
      <c r="A19" t="s">
        <v>55</v>
      </c>
      <c r="B19" s="13" t="s">
        <v>61</v>
      </c>
      <c r="C19" s="1" t="s">
        <v>24</v>
      </c>
      <c r="D19" s="3">
        <v>504470</v>
      </c>
      <c r="E19" s="30">
        <v>229</v>
      </c>
      <c r="F19" s="5" t="s">
        <v>29</v>
      </c>
      <c r="G19" s="1" t="s">
        <v>30</v>
      </c>
      <c r="H19" s="1" t="s">
        <v>64</v>
      </c>
      <c r="I19" s="1" t="s">
        <v>69</v>
      </c>
      <c r="J19" s="1" t="s">
        <v>73</v>
      </c>
      <c r="L19" s="1" t="s">
        <v>74</v>
      </c>
      <c r="P19" s="1" t="s">
        <v>82</v>
      </c>
      <c r="Q19" s="1" t="s">
        <v>85</v>
      </c>
      <c r="S19" s="1" t="s">
        <v>87</v>
      </c>
      <c r="U19" t="b">
        <f>IF(Calcul!$F$2="Constructeur",TRUE,Calcul!$F$2=Source!A19)</f>
        <v>1</v>
      </c>
      <c r="V19" t="b">
        <f>IF(Calcul!$G$2="Mono/Bino",TRUE,Calcul!$G$2=Source!G19)</f>
        <v>1</v>
      </c>
      <c r="W19" t="b">
        <f>IF(Calcul!$H$2="Connectivité",TRUE,Calcul!$H$2=Source!F19)</f>
        <v>1</v>
      </c>
      <c r="X19" t="b">
        <f t="shared" si="0"/>
        <v>1</v>
      </c>
      <c r="Z19">
        <f>IF(X19,ROWS($X$2:X19),"")</f>
        <v>18</v>
      </c>
      <c r="AA19">
        <f>IFERROR(SMALL($Z$2:$Z$86,ROWS(Z$2:$Z19)),"")</f>
        <v>18</v>
      </c>
    </row>
    <row r="20" spans="1:27" x14ac:dyDescent="0.25">
      <c r="A20" t="s">
        <v>55</v>
      </c>
      <c r="B20" s="13" t="s">
        <v>62</v>
      </c>
      <c r="C20" s="1" t="s">
        <v>24</v>
      </c>
      <c r="D20" s="3">
        <v>504320</v>
      </c>
      <c r="E20" s="30">
        <v>319</v>
      </c>
      <c r="F20" s="5" t="s">
        <v>29</v>
      </c>
      <c r="G20" s="1" t="s">
        <v>31</v>
      </c>
      <c r="H20" s="1" t="s">
        <v>64</v>
      </c>
      <c r="I20" s="1" t="s">
        <v>69</v>
      </c>
      <c r="J20" s="1" t="s">
        <v>73</v>
      </c>
      <c r="L20" s="1" t="s">
        <v>74</v>
      </c>
      <c r="M20" s="1"/>
      <c r="P20" s="1" t="s">
        <v>83</v>
      </c>
      <c r="Q20" s="1" t="s">
        <v>84</v>
      </c>
      <c r="S20" s="1" t="s">
        <v>87</v>
      </c>
      <c r="U20" t="b">
        <f>IF(Calcul!$F$2="Constructeur",TRUE,Calcul!$F$2=Source!A20)</f>
        <v>1</v>
      </c>
      <c r="V20" t="b">
        <f>IF(Calcul!$G$2="Mono/Bino",TRUE,Calcul!$G$2=Source!G20)</f>
        <v>1</v>
      </c>
      <c r="W20" t="b">
        <f>IF(Calcul!$H$2="Connectivité",TRUE,Calcul!$H$2=Source!F20)</f>
        <v>1</v>
      </c>
      <c r="X20" t="b">
        <f t="shared" si="0"/>
        <v>1</v>
      </c>
      <c r="Z20">
        <f>IF(X20,ROWS($X$2:X20),"")</f>
        <v>19</v>
      </c>
      <c r="AA20">
        <f>IFERROR(SMALL($Z$2:$Z$86,ROWS(Z$2:$Z20)),"")</f>
        <v>19</v>
      </c>
    </row>
    <row r="21" spans="1:27" x14ac:dyDescent="0.25">
      <c r="A21" t="s">
        <v>55</v>
      </c>
      <c r="B21" s="13" t="s">
        <v>63</v>
      </c>
      <c r="C21" s="1" t="s">
        <v>24</v>
      </c>
      <c r="D21" s="3">
        <v>504474</v>
      </c>
      <c r="E21" s="30">
        <v>319</v>
      </c>
      <c r="F21" s="5" t="s">
        <v>29</v>
      </c>
      <c r="G21" s="1" t="s">
        <v>31</v>
      </c>
      <c r="H21" s="1" t="s">
        <v>64</v>
      </c>
      <c r="I21" s="1" t="s">
        <v>69</v>
      </c>
      <c r="J21" s="1" t="s">
        <v>73</v>
      </c>
      <c r="L21" s="1" t="s">
        <v>74</v>
      </c>
      <c r="P21" s="1" t="s">
        <v>83</v>
      </c>
      <c r="Q21" s="1" t="s">
        <v>85</v>
      </c>
      <c r="S21" s="1" t="s">
        <v>87</v>
      </c>
      <c r="U21" t="b">
        <f>IF(Calcul!$F$2="Constructeur",TRUE,Calcul!$F$2=Source!A21)</f>
        <v>1</v>
      </c>
      <c r="V21" t="b">
        <f>IF(Calcul!$G$2="Mono/Bino",TRUE,Calcul!$G$2=Source!G21)</f>
        <v>1</v>
      </c>
      <c r="W21" t="b">
        <f>IF(Calcul!$H$2="Connectivité",TRUE,Calcul!$H$2=Source!F21)</f>
        <v>1</v>
      </c>
      <c r="X21" t="b">
        <f t="shared" si="0"/>
        <v>1</v>
      </c>
      <c r="Z21">
        <f>IF(X21,ROWS($X$2:X21),"")</f>
        <v>20</v>
      </c>
      <c r="AA21">
        <f>IFERROR(SMALL($Z$2:$Z$86,ROWS(Z$2:$Z21)),"")</f>
        <v>20</v>
      </c>
    </row>
    <row r="22" spans="1:27" s="4" customFormat="1" ht="45" x14ac:dyDescent="0.25">
      <c r="A22" s="4" t="s">
        <v>19</v>
      </c>
      <c r="B22" s="13" t="s">
        <v>88</v>
      </c>
      <c r="C22" s="5" t="s">
        <v>24</v>
      </c>
      <c r="D22" s="3" t="s">
        <v>99</v>
      </c>
      <c r="E22" s="31">
        <v>199</v>
      </c>
      <c r="F22" s="5" t="s">
        <v>50</v>
      </c>
      <c r="G22" s="5" t="s">
        <v>30</v>
      </c>
      <c r="H22" s="5" t="s">
        <v>64</v>
      </c>
      <c r="I22" s="5" t="s">
        <v>65</v>
      </c>
      <c r="J22" s="5" t="s">
        <v>70</v>
      </c>
      <c r="L22" s="5" t="s">
        <v>74</v>
      </c>
      <c r="N22" s="5"/>
      <c r="O22" s="5"/>
      <c r="P22" s="5" t="s">
        <v>109</v>
      </c>
      <c r="Q22" s="5"/>
      <c r="R22" s="9" t="s">
        <v>110</v>
      </c>
      <c r="S22" s="5" t="s">
        <v>87</v>
      </c>
      <c r="U22" t="b">
        <f>IF(Calcul!$F$2="Constructeur",TRUE,Calcul!$F$2=Source!A22)</f>
        <v>1</v>
      </c>
      <c r="V22" t="b">
        <f>IF(Calcul!$G$2="Mono/Bino",TRUE,Calcul!$G$2=Source!G22)</f>
        <v>1</v>
      </c>
      <c r="W22" t="b">
        <f>IF(Calcul!$H$2="Connectivité",TRUE,Calcul!$H$2=Source!F22)</f>
        <v>1</v>
      </c>
      <c r="X22" t="b">
        <f t="shared" si="0"/>
        <v>1</v>
      </c>
      <c r="Z22">
        <f>IF(X22,ROWS($X$2:X22),"")</f>
        <v>21</v>
      </c>
      <c r="AA22">
        <f>IFERROR(SMALL($Z$2:$Z$86,ROWS(Z$2:$Z22)),"")</f>
        <v>21</v>
      </c>
    </row>
    <row r="23" spans="1:27" x14ac:dyDescent="0.25">
      <c r="A23" t="s">
        <v>19</v>
      </c>
      <c r="B23" s="13" t="s">
        <v>89</v>
      </c>
      <c r="C23" s="1" t="s">
        <v>24</v>
      </c>
      <c r="D23" s="3" t="s">
        <v>100</v>
      </c>
      <c r="E23" s="30">
        <v>269</v>
      </c>
      <c r="F23" s="1" t="s">
        <v>50</v>
      </c>
      <c r="G23" s="1" t="s">
        <v>31</v>
      </c>
      <c r="H23" s="1" t="s">
        <v>64</v>
      </c>
      <c r="I23" s="1" t="s">
        <v>65</v>
      </c>
      <c r="J23" s="1" t="s">
        <v>70</v>
      </c>
      <c r="L23" s="1" t="s">
        <v>74</v>
      </c>
      <c r="P23" s="1" t="s">
        <v>108</v>
      </c>
      <c r="S23" s="1" t="s">
        <v>87</v>
      </c>
      <c r="U23" t="b">
        <f>IF(Calcul!$F$2="Constructeur",TRUE,Calcul!$F$2=Source!A23)</f>
        <v>1</v>
      </c>
      <c r="V23" t="b">
        <f>IF(Calcul!$G$2="Mono/Bino",TRUE,Calcul!$G$2=Source!G23)</f>
        <v>1</v>
      </c>
      <c r="W23" t="b">
        <f>IF(Calcul!$H$2="Connectivité",TRUE,Calcul!$H$2=Source!F23)</f>
        <v>1</v>
      </c>
      <c r="X23" t="b">
        <f t="shared" si="0"/>
        <v>1</v>
      </c>
      <c r="Z23">
        <f>IF(X23,ROWS($X$2:X23),"")</f>
        <v>22</v>
      </c>
      <c r="AA23">
        <f>IFERROR(SMALL($Z$2:$Z$86,ROWS(Z$2:$Z23)),"")</f>
        <v>22</v>
      </c>
    </row>
    <row r="24" spans="1:27" x14ac:dyDescent="0.25">
      <c r="A24" t="s">
        <v>32</v>
      </c>
      <c r="B24" s="13" t="s">
        <v>90</v>
      </c>
      <c r="C24" s="1" t="s">
        <v>24</v>
      </c>
      <c r="D24" s="3" t="s">
        <v>101</v>
      </c>
      <c r="E24" s="30">
        <v>299</v>
      </c>
      <c r="F24" s="1" t="s">
        <v>50</v>
      </c>
      <c r="G24" s="1" t="s">
        <v>30</v>
      </c>
      <c r="H24" s="1" t="s">
        <v>64</v>
      </c>
      <c r="I24" s="1" t="s">
        <v>66</v>
      </c>
      <c r="J24" s="1" t="s">
        <v>107</v>
      </c>
      <c r="L24" s="1" t="s">
        <v>74</v>
      </c>
      <c r="P24" s="1" t="s">
        <v>77</v>
      </c>
      <c r="S24" s="1" t="s">
        <v>87</v>
      </c>
      <c r="U24" t="b">
        <f>IF(Calcul!$F$2="Constructeur",TRUE,Calcul!$F$2=Source!A24)</f>
        <v>1</v>
      </c>
      <c r="V24" t="b">
        <f>IF(Calcul!$G$2="Mono/Bino",TRUE,Calcul!$G$2=Source!G24)</f>
        <v>1</v>
      </c>
      <c r="W24" t="b">
        <f>IF(Calcul!$H$2="Connectivité",TRUE,Calcul!$H$2=Source!F24)</f>
        <v>1</v>
      </c>
      <c r="X24" t="b">
        <f t="shared" si="0"/>
        <v>1</v>
      </c>
      <c r="Z24">
        <f>IF(X24,ROWS($X$2:X24),"")</f>
        <v>23</v>
      </c>
      <c r="AA24">
        <f>IFERROR(SMALL($Z$2:$Z$86,ROWS(Z$2:$Z24)),"")</f>
        <v>23</v>
      </c>
    </row>
    <row r="25" spans="1:27" x14ac:dyDescent="0.25">
      <c r="A25" t="s">
        <v>32</v>
      </c>
      <c r="B25" s="13" t="s">
        <v>91</v>
      </c>
      <c r="C25" s="1" t="s">
        <v>24</v>
      </c>
      <c r="D25" s="3" t="s">
        <v>102</v>
      </c>
      <c r="E25" s="30">
        <v>329</v>
      </c>
      <c r="F25" s="1" t="s">
        <v>50</v>
      </c>
      <c r="G25" s="1" t="s">
        <v>31</v>
      </c>
      <c r="H25" s="1" t="s">
        <v>64</v>
      </c>
      <c r="I25" s="1" t="s">
        <v>66</v>
      </c>
      <c r="J25" s="1" t="s">
        <v>107</v>
      </c>
      <c r="L25" s="1" t="s">
        <v>74</v>
      </c>
      <c r="P25" s="1" t="s">
        <v>78</v>
      </c>
      <c r="S25" s="1" t="s">
        <v>87</v>
      </c>
      <c r="U25" t="b">
        <f>IF(Calcul!$F$2="Constructeur",TRUE,Calcul!$F$2=Source!A25)</f>
        <v>1</v>
      </c>
      <c r="V25" t="b">
        <f>IF(Calcul!$G$2="Mono/Bino",TRUE,Calcul!$G$2=Source!G25)</f>
        <v>1</v>
      </c>
      <c r="W25" t="b">
        <f>IF(Calcul!$H$2="Connectivité",TRUE,Calcul!$H$2=Source!F25)</f>
        <v>1</v>
      </c>
      <c r="X25" t="b">
        <f t="shared" si="0"/>
        <v>1</v>
      </c>
      <c r="Z25">
        <f>IF(X25,ROWS($X$2:X25),"")</f>
        <v>24</v>
      </c>
      <c r="AA25">
        <f>IFERROR(SMALL($Z$2:$Z$86,ROWS(Z$2:$Z25)),"")</f>
        <v>24</v>
      </c>
    </row>
    <row r="26" spans="1:27" x14ac:dyDescent="0.25">
      <c r="A26" t="s">
        <v>32</v>
      </c>
      <c r="B26" s="13" t="s">
        <v>92</v>
      </c>
      <c r="C26" s="1" t="s">
        <v>24</v>
      </c>
      <c r="D26" s="3" t="s">
        <v>103</v>
      </c>
      <c r="E26" s="30">
        <v>249</v>
      </c>
      <c r="F26" s="1" t="s">
        <v>50</v>
      </c>
      <c r="G26" s="1" t="s">
        <v>30</v>
      </c>
      <c r="H26" s="1" t="s">
        <v>64</v>
      </c>
      <c r="I26" s="1" t="s">
        <v>67</v>
      </c>
      <c r="J26" s="1" t="s">
        <v>107</v>
      </c>
      <c r="L26" s="1" t="s">
        <v>74</v>
      </c>
      <c r="P26" s="1" t="s">
        <v>79</v>
      </c>
      <c r="S26" s="1" t="s">
        <v>87</v>
      </c>
      <c r="U26" t="b">
        <f>IF(Calcul!$F$2="Constructeur",TRUE,Calcul!$F$2=Source!A26)</f>
        <v>1</v>
      </c>
      <c r="V26" t="b">
        <f>IF(Calcul!$G$2="Mono/Bino",TRUE,Calcul!$G$2=Source!G26)</f>
        <v>1</v>
      </c>
      <c r="W26" t="b">
        <f>IF(Calcul!$H$2="Connectivité",TRUE,Calcul!$H$2=Source!F26)</f>
        <v>1</v>
      </c>
      <c r="X26" t="b">
        <f t="shared" si="0"/>
        <v>1</v>
      </c>
      <c r="Z26">
        <f>IF(X26,ROWS($X$2:X26),"")</f>
        <v>25</v>
      </c>
      <c r="AA26">
        <f>IFERROR(SMALL($Z$2:$Z$86,ROWS(Z$2:$Z26)),"")</f>
        <v>25</v>
      </c>
    </row>
    <row r="27" spans="1:27" x14ac:dyDescent="0.25">
      <c r="A27" t="s">
        <v>32</v>
      </c>
      <c r="B27" s="13" t="s">
        <v>93</v>
      </c>
      <c r="C27" s="1" t="s">
        <v>24</v>
      </c>
      <c r="D27" s="3" t="s">
        <v>104</v>
      </c>
      <c r="E27" s="30">
        <v>250</v>
      </c>
      <c r="F27" s="1" t="s">
        <v>50</v>
      </c>
      <c r="G27" s="1" t="s">
        <v>30</v>
      </c>
      <c r="H27" s="1" t="s">
        <v>64</v>
      </c>
      <c r="I27" s="1" t="s">
        <v>68</v>
      </c>
      <c r="J27" s="1" t="s">
        <v>107</v>
      </c>
      <c r="L27" s="1" t="s">
        <v>74</v>
      </c>
      <c r="P27" s="1" t="s">
        <v>80</v>
      </c>
      <c r="R27" t="s">
        <v>111</v>
      </c>
      <c r="S27" s="1" t="s">
        <v>87</v>
      </c>
      <c r="U27" t="b">
        <f>IF(Calcul!$F$2="Constructeur",TRUE,Calcul!$F$2=Source!A27)</f>
        <v>1</v>
      </c>
      <c r="V27" t="b">
        <f>IF(Calcul!$G$2="Mono/Bino",TRUE,Calcul!$G$2=Source!G27)</f>
        <v>1</v>
      </c>
      <c r="W27" t="b">
        <f>IF(Calcul!$H$2="Connectivité",TRUE,Calcul!$H$2=Source!F27)</f>
        <v>1</v>
      </c>
      <c r="X27" t="b">
        <f t="shared" si="0"/>
        <v>1</v>
      </c>
      <c r="Z27">
        <f>IF(X27,ROWS($X$2:X27),"")</f>
        <v>26</v>
      </c>
      <c r="AA27">
        <f>IFERROR(SMALL($Z$2:$Z$86,ROWS(Z$2:$Z27)),"")</f>
        <v>26</v>
      </c>
    </row>
    <row r="28" spans="1:27" x14ac:dyDescent="0.25">
      <c r="A28" t="s">
        <v>32</v>
      </c>
      <c r="B28" s="13" t="s">
        <v>94</v>
      </c>
      <c r="C28" s="1" t="s">
        <v>24</v>
      </c>
      <c r="D28" s="3" t="s">
        <v>105</v>
      </c>
      <c r="E28" s="30">
        <v>100</v>
      </c>
      <c r="F28" s="1" t="s">
        <v>50</v>
      </c>
      <c r="G28" s="1" t="s">
        <v>30</v>
      </c>
      <c r="H28" s="1" t="s">
        <v>64</v>
      </c>
      <c r="I28" s="1" t="s">
        <v>68</v>
      </c>
      <c r="J28" s="1" t="s">
        <v>72</v>
      </c>
      <c r="L28" s="1"/>
      <c r="P28" s="1" t="s">
        <v>81</v>
      </c>
      <c r="S28" s="1" t="s">
        <v>87</v>
      </c>
      <c r="U28" t="b">
        <f>IF(Calcul!$F$2="Constructeur",TRUE,Calcul!$F$2=Source!A28)</f>
        <v>1</v>
      </c>
      <c r="V28" t="b">
        <f>IF(Calcul!$G$2="Mono/Bino",TRUE,Calcul!$G$2=Source!G28)</f>
        <v>1</v>
      </c>
      <c r="W28" t="b">
        <f>IF(Calcul!$H$2="Connectivité",TRUE,Calcul!$H$2=Source!F28)</f>
        <v>1</v>
      </c>
      <c r="X28" t="b">
        <f t="shared" si="0"/>
        <v>1</v>
      </c>
      <c r="Z28">
        <f>IF(X28,ROWS($X$2:X28),"")</f>
        <v>27</v>
      </c>
      <c r="AA28">
        <f>IFERROR(SMALL($Z$2:$Z$86,ROWS(Z$2:$Z28)),"")</f>
        <v>27</v>
      </c>
    </row>
    <row r="29" spans="1:27" x14ac:dyDescent="0.25">
      <c r="A29" t="s">
        <v>55</v>
      </c>
      <c r="B29" s="13" t="s">
        <v>95</v>
      </c>
      <c r="C29" s="1" t="s">
        <v>24</v>
      </c>
      <c r="D29" s="3">
        <v>506408</v>
      </c>
      <c r="E29" s="30">
        <v>239</v>
      </c>
      <c r="F29" s="1" t="s">
        <v>50</v>
      </c>
      <c r="G29" s="1" t="s">
        <v>30</v>
      </c>
      <c r="H29" s="1" t="s">
        <v>106</v>
      </c>
      <c r="I29" s="1" t="s">
        <v>65</v>
      </c>
      <c r="J29" s="1" t="s">
        <v>73</v>
      </c>
      <c r="L29" s="1" t="s">
        <v>74</v>
      </c>
      <c r="P29" s="1" t="s">
        <v>81</v>
      </c>
      <c r="S29" s="1" t="s">
        <v>87</v>
      </c>
      <c r="U29" t="b">
        <f>IF(Calcul!$F$2="Constructeur",TRUE,Calcul!$F$2=Source!A29)</f>
        <v>1</v>
      </c>
      <c r="V29" t="b">
        <f>IF(Calcul!$G$2="Mono/Bino",TRUE,Calcul!$G$2=Source!G29)</f>
        <v>1</v>
      </c>
      <c r="W29" t="b">
        <f>IF(Calcul!$H$2="Connectivité",TRUE,Calcul!$H$2=Source!F29)</f>
        <v>1</v>
      </c>
      <c r="X29" t="b">
        <f t="shared" si="0"/>
        <v>1</v>
      </c>
      <c r="Z29">
        <f>IF(X29,ROWS($X$2:X29),"")</f>
        <v>28</v>
      </c>
      <c r="AA29">
        <f>IFERROR(SMALL($Z$2:$Z$86,ROWS(Z$2:$Z29)),"")</f>
        <v>28</v>
      </c>
    </row>
    <row r="30" spans="1:27" x14ac:dyDescent="0.25">
      <c r="A30" t="s">
        <v>55</v>
      </c>
      <c r="B30" s="13" t="s">
        <v>96</v>
      </c>
      <c r="C30" s="1" t="s">
        <v>24</v>
      </c>
      <c r="D30" s="3">
        <v>504430</v>
      </c>
      <c r="E30" s="30">
        <v>279</v>
      </c>
      <c r="F30" s="1" t="s">
        <v>50</v>
      </c>
      <c r="G30" s="1" t="s">
        <v>30</v>
      </c>
      <c r="H30" s="1" t="s">
        <v>106</v>
      </c>
      <c r="I30" s="1" t="s">
        <v>65</v>
      </c>
      <c r="J30" s="1" t="s">
        <v>73</v>
      </c>
      <c r="L30" s="1"/>
      <c r="P30" s="1" t="s">
        <v>81</v>
      </c>
      <c r="S30" s="1" t="s">
        <v>87</v>
      </c>
      <c r="U30" t="b">
        <f>IF(Calcul!$F$2="Constructeur",TRUE,Calcul!$F$2=Source!A30)</f>
        <v>1</v>
      </c>
      <c r="V30" t="b">
        <f>IF(Calcul!$G$2="Mono/Bino",TRUE,Calcul!$G$2=Source!G30)</f>
        <v>1</v>
      </c>
      <c r="W30" t="b">
        <f>IF(Calcul!$H$2="Connectivité",TRUE,Calcul!$H$2=Source!F30)</f>
        <v>1</v>
      </c>
      <c r="X30" t="b">
        <f t="shared" si="0"/>
        <v>1</v>
      </c>
      <c r="Z30">
        <f>IF(X30,ROWS($X$2:X30),"")</f>
        <v>29</v>
      </c>
      <c r="AA30">
        <f>IFERROR(SMALL($Z$2:$Z$86,ROWS(Z$2:$Z30)),"")</f>
        <v>29</v>
      </c>
    </row>
    <row r="31" spans="1:27" x14ac:dyDescent="0.25">
      <c r="A31" t="s">
        <v>55</v>
      </c>
      <c r="B31" s="13" t="s">
        <v>97</v>
      </c>
      <c r="C31" s="1" t="s">
        <v>24</v>
      </c>
      <c r="D31" s="3">
        <v>504434</v>
      </c>
      <c r="E31" s="30">
        <v>299</v>
      </c>
      <c r="F31" s="1" t="s">
        <v>50</v>
      </c>
      <c r="G31" s="1" t="s">
        <v>30</v>
      </c>
      <c r="H31" s="1" t="s">
        <v>106</v>
      </c>
      <c r="I31" s="1" t="s">
        <v>65</v>
      </c>
      <c r="J31" s="1" t="s">
        <v>73</v>
      </c>
      <c r="L31" s="1"/>
      <c r="P31" s="1" t="s">
        <v>82</v>
      </c>
      <c r="S31" s="1" t="s">
        <v>87</v>
      </c>
      <c r="U31" t="b">
        <f>IF(Calcul!$F$2="Constructeur",TRUE,Calcul!$F$2=Source!A31)</f>
        <v>1</v>
      </c>
      <c r="V31" t="b">
        <f>IF(Calcul!$G$2="Mono/Bino",TRUE,Calcul!$G$2=Source!G31)</f>
        <v>1</v>
      </c>
      <c r="W31" t="b">
        <f>IF(Calcul!$H$2="Connectivité",TRUE,Calcul!$H$2=Source!F31)</f>
        <v>1</v>
      </c>
      <c r="X31" t="b">
        <f t="shared" si="0"/>
        <v>1</v>
      </c>
      <c r="Z31">
        <f>IF(X31,ROWS($X$2:X31),"")</f>
        <v>30</v>
      </c>
      <c r="AA31">
        <f>IFERROR(SMALL($Z$2:$Z$86,ROWS(Z$2:$Z31)),"")</f>
        <v>30</v>
      </c>
    </row>
    <row r="32" spans="1:27" x14ac:dyDescent="0.25">
      <c r="A32" t="s">
        <v>55</v>
      </c>
      <c r="B32" s="13" t="s">
        <v>98</v>
      </c>
      <c r="C32" s="1" t="s">
        <v>24</v>
      </c>
      <c r="D32" s="3">
        <v>504438</v>
      </c>
      <c r="E32" s="30">
        <v>319</v>
      </c>
      <c r="F32" s="1" t="s">
        <v>50</v>
      </c>
      <c r="G32" s="1" t="s">
        <v>30</v>
      </c>
      <c r="H32" s="1" t="s">
        <v>106</v>
      </c>
      <c r="I32" s="1" t="s">
        <v>65</v>
      </c>
      <c r="J32" s="1" t="s">
        <v>73</v>
      </c>
      <c r="L32" s="1"/>
      <c r="P32" s="1" t="s">
        <v>83</v>
      </c>
      <c r="S32" s="1" t="s">
        <v>87</v>
      </c>
      <c r="U32" t="b">
        <f>IF(Calcul!$F$2="Constructeur",TRUE,Calcul!$F$2=Source!A32)</f>
        <v>1</v>
      </c>
      <c r="V32" t="b">
        <f>IF(Calcul!$G$2="Mono/Bino",TRUE,Calcul!$G$2=Source!G32)</f>
        <v>1</v>
      </c>
      <c r="W32" t="b">
        <f>IF(Calcul!$H$2="Connectivité",TRUE,Calcul!$H$2=Source!F32)</f>
        <v>1</v>
      </c>
      <c r="X32" t="b">
        <f t="shared" si="0"/>
        <v>1</v>
      </c>
      <c r="Z32">
        <f>IF(X32,ROWS($X$2:X32),"")</f>
        <v>31</v>
      </c>
      <c r="AA32">
        <f>IFERROR(SMALL($Z$2:$Z$86,ROWS(Z$2:$Z32)),"")</f>
        <v>31</v>
      </c>
    </row>
    <row r="33" spans="1:27" x14ac:dyDescent="0.25">
      <c r="A33" t="s">
        <v>19</v>
      </c>
      <c r="B33" s="13" t="s">
        <v>112</v>
      </c>
      <c r="C33" s="1" t="s">
        <v>24</v>
      </c>
      <c r="D33" s="3" t="s">
        <v>114</v>
      </c>
      <c r="E33" s="30">
        <v>259</v>
      </c>
      <c r="F33" s="1" t="s">
        <v>51</v>
      </c>
      <c r="G33" s="1" t="s">
        <v>30</v>
      </c>
      <c r="H33" s="1" t="s">
        <v>116</v>
      </c>
      <c r="I33" s="1" t="s">
        <v>118</v>
      </c>
      <c r="J33" s="1" t="s">
        <v>119</v>
      </c>
      <c r="N33" s="1">
        <v>1</v>
      </c>
      <c r="P33" s="1" t="s">
        <v>109</v>
      </c>
      <c r="S33" s="1" t="s">
        <v>86</v>
      </c>
      <c r="U33" t="b">
        <f>IF(Calcul!$F$2="Constructeur",TRUE,Calcul!$F$2=Source!A33)</f>
        <v>1</v>
      </c>
      <c r="V33" t="b">
        <f>IF(Calcul!$G$2="Mono/Bino",TRUE,Calcul!$G$2=Source!G33)</f>
        <v>1</v>
      </c>
      <c r="W33" t="b">
        <f>IF(Calcul!$H$2="Connectivité",TRUE,Calcul!$H$2=Source!F33)</f>
        <v>1</v>
      </c>
      <c r="X33" t="b">
        <f t="shared" si="0"/>
        <v>1</v>
      </c>
      <c r="Z33">
        <f>IF(X33,ROWS($X$2:X33),"")</f>
        <v>32</v>
      </c>
      <c r="AA33">
        <f>IFERROR(SMALL($Z$2:$Z$86,ROWS(Z$2:$Z33)),"")</f>
        <v>32</v>
      </c>
    </row>
    <row r="34" spans="1:27" x14ac:dyDescent="0.25">
      <c r="A34" t="s">
        <v>32</v>
      </c>
      <c r="B34" s="13" t="s">
        <v>113</v>
      </c>
      <c r="C34" s="1" t="s">
        <v>24</v>
      </c>
      <c r="D34" s="3" t="s">
        <v>115</v>
      </c>
      <c r="E34" s="30">
        <v>229</v>
      </c>
      <c r="F34" s="1" t="s">
        <v>51</v>
      </c>
      <c r="G34" s="1" t="s">
        <v>30</v>
      </c>
      <c r="H34" s="1" t="s">
        <v>117</v>
      </c>
      <c r="I34" s="1" t="s">
        <v>68</v>
      </c>
      <c r="J34" s="1" t="s">
        <v>120</v>
      </c>
      <c r="N34" s="1">
        <v>3</v>
      </c>
      <c r="P34" s="1" t="s">
        <v>121</v>
      </c>
      <c r="S34" s="1" t="s">
        <v>87</v>
      </c>
      <c r="U34" t="b">
        <f>IF(Calcul!$F$2="Constructeur",TRUE,Calcul!$F$2=Source!A34)</f>
        <v>1</v>
      </c>
      <c r="V34" t="b">
        <f>IF(Calcul!$G$2="Mono/Bino",TRUE,Calcul!$G$2=Source!G34)</f>
        <v>1</v>
      </c>
      <c r="W34" t="b">
        <f>IF(Calcul!$H$2="Connectivité",TRUE,Calcul!$H$2=Source!F34)</f>
        <v>1</v>
      </c>
      <c r="X34" t="b">
        <f t="shared" ref="X34:X65" si="1">AND(U34:W34)</f>
        <v>1</v>
      </c>
      <c r="Z34">
        <f>IF(X34,ROWS($X$2:X34),"")</f>
        <v>33</v>
      </c>
      <c r="AA34">
        <f>IFERROR(SMALL($Z$2:$Z$86,ROWS(Z$2:$Z34)),"")</f>
        <v>33</v>
      </c>
    </row>
    <row r="35" spans="1:27" x14ac:dyDescent="0.25">
      <c r="A35" t="s">
        <v>19</v>
      </c>
      <c r="B35" s="13" t="s">
        <v>122</v>
      </c>
      <c r="C35" s="1" t="s">
        <v>24</v>
      </c>
      <c r="D35" s="3" t="s">
        <v>132</v>
      </c>
      <c r="E35" s="30">
        <v>110</v>
      </c>
      <c r="F35" s="1" t="s">
        <v>52</v>
      </c>
      <c r="G35" s="1" t="s">
        <v>30</v>
      </c>
      <c r="H35" s="1" t="s">
        <v>142</v>
      </c>
      <c r="I35" s="1" t="s">
        <v>67</v>
      </c>
      <c r="J35" s="1" t="s">
        <v>119</v>
      </c>
      <c r="N35" s="1">
        <v>2</v>
      </c>
      <c r="O35" s="1" t="s">
        <v>85</v>
      </c>
      <c r="P35" s="1" t="s">
        <v>148</v>
      </c>
      <c r="Q35" s="1" t="s">
        <v>84</v>
      </c>
      <c r="S35" s="1" t="s">
        <v>87</v>
      </c>
      <c r="U35" t="b">
        <f>IF(Calcul!$F$2="Constructeur",TRUE,Calcul!$F$2=Source!A35)</f>
        <v>1</v>
      </c>
      <c r="V35" t="b">
        <f>IF(Calcul!$G$2="Mono/Bino",TRUE,Calcul!$G$2=Source!G35)</f>
        <v>1</v>
      </c>
      <c r="W35" t="b">
        <f>IF(Calcul!$H$2="Connectivité",TRUE,Calcul!$H$2=Source!F35)</f>
        <v>1</v>
      </c>
      <c r="X35" t="b">
        <f t="shared" si="1"/>
        <v>1</v>
      </c>
      <c r="Z35">
        <f>IF(X35,ROWS($X$2:X35),"")</f>
        <v>34</v>
      </c>
      <c r="AA35">
        <f>IFERROR(SMALL($Z$2:$Z$86,ROWS(Z$2:$Z35)),"")</f>
        <v>34</v>
      </c>
    </row>
    <row r="36" spans="1:27" x14ac:dyDescent="0.25">
      <c r="A36" t="s">
        <v>19</v>
      </c>
      <c r="B36" s="13" t="s">
        <v>123</v>
      </c>
      <c r="C36" s="1" t="s">
        <v>24</v>
      </c>
      <c r="D36" s="3" t="s">
        <v>133</v>
      </c>
      <c r="E36" s="30">
        <v>110</v>
      </c>
      <c r="F36" s="1" t="s">
        <v>52</v>
      </c>
      <c r="G36" s="1" t="s">
        <v>30</v>
      </c>
      <c r="H36" s="1" t="s">
        <v>142</v>
      </c>
      <c r="I36" s="1" t="s">
        <v>67</v>
      </c>
      <c r="J36" s="1" t="s">
        <v>119</v>
      </c>
      <c r="N36" s="1">
        <v>2</v>
      </c>
      <c r="O36" s="1" t="s">
        <v>85</v>
      </c>
      <c r="P36" s="1" t="s">
        <v>148</v>
      </c>
      <c r="Q36" s="1" t="s">
        <v>85</v>
      </c>
      <c r="S36" s="1" t="s">
        <v>87</v>
      </c>
      <c r="U36" t="b">
        <f>IF(Calcul!$F$2="Constructeur",TRUE,Calcul!$F$2=Source!A36)</f>
        <v>1</v>
      </c>
      <c r="V36" t="b">
        <f>IF(Calcul!$G$2="Mono/Bino",TRUE,Calcul!$G$2=Source!G36)</f>
        <v>1</v>
      </c>
      <c r="W36" t="b">
        <f>IF(Calcul!$H$2="Connectivité",TRUE,Calcul!$H$2=Source!F36)</f>
        <v>1</v>
      </c>
      <c r="X36" t="b">
        <f t="shared" si="1"/>
        <v>1</v>
      </c>
      <c r="Z36">
        <f>IF(X36,ROWS($X$2:X36),"")</f>
        <v>35</v>
      </c>
      <c r="AA36">
        <f>IFERROR(SMALL($Z$2:$Z$86,ROWS(Z$2:$Z36)),"")</f>
        <v>35</v>
      </c>
    </row>
    <row r="37" spans="1:27" x14ac:dyDescent="0.25">
      <c r="A37" t="s">
        <v>19</v>
      </c>
      <c r="B37" s="13" t="s">
        <v>124</v>
      </c>
      <c r="C37" s="1" t="s">
        <v>24</v>
      </c>
      <c r="D37" s="3" t="s">
        <v>134</v>
      </c>
      <c r="E37" s="30">
        <v>160</v>
      </c>
      <c r="F37" s="1" t="s">
        <v>52</v>
      </c>
      <c r="G37" s="1" t="s">
        <v>30</v>
      </c>
      <c r="H37" s="1" t="s">
        <v>143</v>
      </c>
      <c r="I37" s="1" t="s">
        <v>67</v>
      </c>
      <c r="J37" s="1" t="s">
        <v>146</v>
      </c>
      <c r="N37" s="1">
        <v>2</v>
      </c>
      <c r="O37" s="1" t="s">
        <v>85</v>
      </c>
      <c r="P37" s="1" t="s">
        <v>148</v>
      </c>
      <c r="Q37" s="1" t="s">
        <v>84</v>
      </c>
      <c r="S37" s="1" t="s">
        <v>87</v>
      </c>
      <c r="U37" t="b">
        <f>IF(Calcul!$F$2="Constructeur",TRUE,Calcul!$F$2=Source!A37)</f>
        <v>1</v>
      </c>
      <c r="V37" t="b">
        <f>IF(Calcul!$G$2="Mono/Bino",TRUE,Calcul!$G$2=Source!G37)</f>
        <v>1</v>
      </c>
      <c r="W37" t="b">
        <f>IF(Calcul!$H$2="Connectivité",TRUE,Calcul!$H$2=Source!F37)</f>
        <v>1</v>
      </c>
      <c r="X37" t="b">
        <f t="shared" si="1"/>
        <v>1</v>
      </c>
      <c r="Z37">
        <f>IF(X37,ROWS($X$2:X37),"")</f>
        <v>36</v>
      </c>
      <c r="AA37">
        <f>IFERROR(SMALL($Z$2:$Z$86,ROWS(Z$2:$Z37)),"")</f>
        <v>36</v>
      </c>
    </row>
    <row r="38" spans="1:27" x14ac:dyDescent="0.25">
      <c r="A38" t="s">
        <v>19</v>
      </c>
      <c r="B38" s="13" t="s">
        <v>125</v>
      </c>
      <c r="C38" s="1" t="s">
        <v>24</v>
      </c>
      <c r="D38" s="3" t="s">
        <v>135</v>
      </c>
      <c r="E38" s="30">
        <v>160</v>
      </c>
      <c r="F38" s="1" t="s">
        <v>52</v>
      </c>
      <c r="G38" s="1" t="s">
        <v>30</v>
      </c>
      <c r="H38" s="1" t="s">
        <v>143</v>
      </c>
      <c r="I38" s="1" t="s">
        <v>67</v>
      </c>
      <c r="J38" s="1" t="s">
        <v>146</v>
      </c>
      <c r="N38" s="1">
        <v>2</v>
      </c>
      <c r="O38" s="1" t="s">
        <v>85</v>
      </c>
      <c r="P38" s="1" t="s">
        <v>148</v>
      </c>
      <c r="Q38" s="1" t="s">
        <v>85</v>
      </c>
      <c r="S38" s="1" t="s">
        <v>87</v>
      </c>
      <c r="U38" t="b">
        <f>IF(Calcul!$F$2="Constructeur",TRUE,Calcul!$F$2=Source!A38)</f>
        <v>1</v>
      </c>
      <c r="V38" t="b">
        <f>IF(Calcul!$G$2="Mono/Bino",TRUE,Calcul!$G$2=Source!G38)</f>
        <v>1</v>
      </c>
      <c r="W38" t="b">
        <f>IF(Calcul!$H$2="Connectivité",TRUE,Calcul!$H$2=Source!F38)</f>
        <v>1</v>
      </c>
      <c r="X38" t="b">
        <f t="shared" si="1"/>
        <v>1</v>
      </c>
      <c r="Z38">
        <f>IF(X38,ROWS($X$2:X38),"")</f>
        <v>37</v>
      </c>
      <c r="AA38">
        <f>IFERROR(SMALL($Z$2:$Z$86,ROWS(Z$2:$Z38)),"")</f>
        <v>37</v>
      </c>
    </row>
    <row r="39" spans="1:27" x14ac:dyDescent="0.25">
      <c r="A39" t="s">
        <v>19</v>
      </c>
      <c r="B39" s="13" t="s">
        <v>126</v>
      </c>
      <c r="C39" s="1" t="s">
        <v>24</v>
      </c>
      <c r="D39" s="3" t="s">
        <v>136</v>
      </c>
      <c r="E39" s="30">
        <v>259</v>
      </c>
      <c r="F39" s="1" t="s">
        <v>52</v>
      </c>
      <c r="G39" s="1" t="s">
        <v>30</v>
      </c>
      <c r="H39" s="1" t="s">
        <v>116</v>
      </c>
      <c r="I39" s="1" t="s">
        <v>145</v>
      </c>
      <c r="J39" s="1" t="s">
        <v>119</v>
      </c>
      <c r="O39" s="1" t="s">
        <v>84</v>
      </c>
      <c r="P39" s="1" t="s">
        <v>109</v>
      </c>
      <c r="Q39" s="1" t="s">
        <v>84</v>
      </c>
      <c r="S39" s="1" t="s">
        <v>86</v>
      </c>
      <c r="U39" t="b">
        <f>IF(Calcul!$F$2="Constructeur",TRUE,Calcul!$F$2=Source!A39)</f>
        <v>1</v>
      </c>
      <c r="V39" t="b">
        <f>IF(Calcul!$G$2="Mono/Bino",TRUE,Calcul!$G$2=Source!G39)</f>
        <v>1</v>
      </c>
      <c r="W39" t="b">
        <f>IF(Calcul!$H$2="Connectivité",TRUE,Calcul!$H$2=Source!F39)</f>
        <v>1</v>
      </c>
      <c r="X39" t="b">
        <f t="shared" si="1"/>
        <v>1</v>
      </c>
      <c r="Z39">
        <f>IF(X39,ROWS($X$2:X39),"")</f>
        <v>38</v>
      </c>
      <c r="AA39">
        <f>IFERROR(SMALL($Z$2:$Z$86,ROWS(Z$2:$Z39)),"")</f>
        <v>38</v>
      </c>
    </row>
    <row r="40" spans="1:27" x14ac:dyDescent="0.25">
      <c r="A40" t="s">
        <v>19</v>
      </c>
      <c r="B40" s="13" t="s">
        <v>127</v>
      </c>
      <c r="C40" s="1" t="s">
        <v>24</v>
      </c>
      <c r="D40" s="3" t="s">
        <v>137</v>
      </c>
      <c r="E40" s="30">
        <v>259</v>
      </c>
      <c r="F40" s="1" t="s">
        <v>52</v>
      </c>
      <c r="G40" s="1" t="s">
        <v>30</v>
      </c>
      <c r="H40" s="1" t="s">
        <v>116</v>
      </c>
      <c r="I40" s="1" t="s">
        <v>145</v>
      </c>
      <c r="J40" s="1" t="s">
        <v>119</v>
      </c>
      <c r="O40" s="1" t="s">
        <v>84</v>
      </c>
      <c r="P40" s="1" t="s">
        <v>109</v>
      </c>
      <c r="Q40" s="1" t="s">
        <v>85</v>
      </c>
      <c r="S40" s="1" t="s">
        <v>86</v>
      </c>
      <c r="U40" t="b">
        <f>IF(Calcul!$F$2="Constructeur",TRUE,Calcul!$F$2=Source!A40)</f>
        <v>1</v>
      </c>
      <c r="V40" t="b">
        <f>IF(Calcul!$G$2="Mono/Bino",TRUE,Calcul!$G$2=Source!G40)</f>
        <v>1</v>
      </c>
      <c r="W40" t="b">
        <f>IF(Calcul!$H$2="Connectivité",TRUE,Calcul!$H$2=Source!F40)</f>
        <v>1</v>
      </c>
      <c r="X40" t="b">
        <f t="shared" si="1"/>
        <v>1</v>
      </c>
      <c r="Z40">
        <f>IF(X40,ROWS($X$2:X40),"")</f>
        <v>39</v>
      </c>
      <c r="AA40">
        <f>IFERROR(SMALL($Z$2:$Z$86,ROWS(Z$2:$Z40)),"")</f>
        <v>39</v>
      </c>
    </row>
    <row r="41" spans="1:27" x14ac:dyDescent="0.25">
      <c r="A41" t="s">
        <v>19</v>
      </c>
      <c r="B41" s="13" t="s">
        <v>128</v>
      </c>
      <c r="C41" s="1" t="s">
        <v>24</v>
      </c>
      <c r="D41" s="3" t="s">
        <v>138</v>
      </c>
      <c r="E41" s="30">
        <v>155</v>
      </c>
      <c r="F41" s="1" t="s">
        <v>52</v>
      </c>
      <c r="G41" s="1" t="s">
        <v>30</v>
      </c>
      <c r="H41" s="1" t="s">
        <v>144</v>
      </c>
      <c r="I41" s="1" t="s">
        <v>145</v>
      </c>
      <c r="J41" s="1" t="s">
        <v>147</v>
      </c>
      <c r="N41" s="1">
        <v>1</v>
      </c>
      <c r="O41" s="1" t="s">
        <v>85</v>
      </c>
      <c r="P41" s="1" t="s">
        <v>149</v>
      </c>
      <c r="Q41" s="1" t="s">
        <v>84</v>
      </c>
      <c r="S41" s="1" t="s">
        <v>87</v>
      </c>
      <c r="U41" t="b">
        <f>IF(Calcul!$F$2="Constructeur",TRUE,Calcul!$F$2=Source!A41)</f>
        <v>1</v>
      </c>
      <c r="V41" t="b">
        <f>IF(Calcul!$G$2="Mono/Bino",TRUE,Calcul!$G$2=Source!G41)</f>
        <v>1</v>
      </c>
      <c r="W41" t="b">
        <f>IF(Calcul!$H$2="Connectivité",TRUE,Calcul!$H$2=Source!F41)</f>
        <v>1</v>
      </c>
      <c r="X41" t="b">
        <f t="shared" si="1"/>
        <v>1</v>
      </c>
      <c r="Z41">
        <f>IF(X41,ROWS($X$2:X41),"")</f>
        <v>40</v>
      </c>
      <c r="AA41">
        <f>IFERROR(SMALL($Z$2:$Z$86,ROWS(Z$2:$Z41)),"")</f>
        <v>40</v>
      </c>
    </row>
    <row r="42" spans="1:27" x14ac:dyDescent="0.25">
      <c r="A42" t="s">
        <v>19</v>
      </c>
      <c r="B42" s="13" t="s">
        <v>129</v>
      </c>
      <c r="C42" s="1" t="s">
        <v>24</v>
      </c>
      <c r="D42" s="3" t="s">
        <v>139</v>
      </c>
      <c r="E42" s="30">
        <v>155</v>
      </c>
      <c r="F42" s="1" t="s">
        <v>52</v>
      </c>
      <c r="G42" s="1" t="s">
        <v>30</v>
      </c>
      <c r="H42" s="1" t="s">
        <v>144</v>
      </c>
      <c r="I42" s="1" t="s">
        <v>145</v>
      </c>
      <c r="J42" s="1" t="s">
        <v>147</v>
      </c>
      <c r="N42" s="1">
        <v>1</v>
      </c>
      <c r="O42" s="1" t="s">
        <v>85</v>
      </c>
      <c r="P42" s="1" t="s">
        <v>149</v>
      </c>
      <c r="Q42" s="1" t="s">
        <v>85</v>
      </c>
      <c r="S42" s="1" t="s">
        <v>87</v>
      </c>
      <c r="U42" t="b">
        <f>IF(Calcul!$F$2="Constructeur",TRUE,Calcul!$F$2=Source!A42)</f>
        <v>1</v>
      </c>
      <c r="V42" t="b">
        <f>IF(Calcul!$G$2="Mono/Bino",TRUE,Calcul!$G$2=Source!G42)</f>
        <v>1</v>
      </c>
      <c r="W42" t="b">
        <f>IF(Calcul!$H$2="Connectivité",TRUE,Calcul!$H$2=Source!F42)</f>
        <v>1</v>
      </c>
      <c r="X42" t="b">
        <f t="shared" si="1"/>
        <v>1</v>
      </c>
      <c r="Z42">
        <f>IF(X42,ROWS($X$2:X42),"")</f>
        <v>41</v>
      </c>
      <c r="AA42">
        <f>IFERROR(SMALL($Z$2:$Z$86,ROWS(Z$2:$Z42)),"")</f>
        <v>41</v>
      </c>
    </row>
    <row r="43" spans="1:27" x14ac:dyDescent="0.25">
      <c r="A43" t="s">
        <v>19</v>
      </c>
      <c r="B43" s="13" t="s">
        <v>130</v>
      </c>
      <c r="C43" s="1" t="s">
        <v>24</v>
      </c>
      <c r="D43" s="3" t="s">
        <v>140</v>
      </c>
      <c r="E43" s="30">
        <v>165</v>
      </c>
      <c r="F43" s="1" t="s">
        <v>52</v>
      </c>
      <c r="G43" s="1" t="s">
        <v>31</v>
      </c>
      <c r="H43" s="1" t="s">
        <v>144</v>
      </c>
      <c r="I43" s="1" t="s">
        <v>145</v>
      </c>
      <c r="J43" s="1" t="s">
        <v>147</v>
      </c>
      <c r="N43" s="1">
        <v>1</v>
      </c>
      <c r="O43" s="1" t="s">
        <v>85</v>
      </c>
      <c r="P43" s="1" t="s">
        <v>150</v>
      </c>
      <c r="Q43" s="1" t="s">
        <v>84</v>
      </c>
      <c r="S43" s="1" t="s">
        <v>87</v>
      </c>
      <c r="U43" t="b">
        <f>IF(Calcul!$F$2="Constructeur",TRUE,Calcul!$F$2=Source!A43)</f>
        <v>1</v>
      </c>
      <c r="V43" t="b">
        <f>IF(Calcul!$G$2="Mono/Bino",TRUE,Calcul!$G$2=Source!G43)</f>
        <v>1</v>
      </c>
      <c r="W43" t="b">
        <f>IF(Calcul!$H$2="Connectivité",TRUE,Calcul!$H$2=Source!F43)</f>
        <v>1</v>
      </c>
      <c r="X43" t="b">
        <f t="shared" si="1"/>
        <v>1</v>
      </c>
      <c r="Z43">
        <f>IF(X43,ROWS($X$2:X43),"")</f>
        <v>42</v>
      </c>
      <c r="AA43">
        <f>IFERROR(SMALL($Z$2:$Z$86,ROWS(Z$2:$Z43)),"")</f>
        <v>42</v>
      </c>
    </row>
    <row r="44" spans="1:27" x14ac:dyDescent="0.25">
      <c r="A44" t="s">
        <v>19</v>
      </c>
      <c r="B44" s="13" t="s">
        <v>131</v>
      </c>
      <c r="C44" s="1" t="s">
        <v>24</v>
      </c>
      <c r="D44" s="3" t="s">
        <v>141</v>
      </c>
      <c r="E44" s="30">
        <v>165</v>
      </c>
      <c r="F44" s="1" t="s">
        <v>52</v>
      </c>
      <c r="G44" s="1" t="s">
        <v>31</v>
      </c>
      <c r="H44" s="1" t="s">
        <v>144</v>
      </c>
      <c r="I44" s="1" t="s">
        <v>145</v>
      </c>
      <c r="J44" s="1" t="s">
        <v>147</v>
      </c>
      <c r="N44" s="1">
        <v>1</v>
      </c>
      <c r="O44" s="1" t="s">
        <v>85</v>
      </c>
      <c r="P44" s="1" t="s">
        <v>150</v>
      </c>
      <c r="Q44" s="1" t="s">
        <v>85</v>
      </c>
      <c r="S44" s="1" t="s">
        <v>87</v>
      </c>
      <c r="U44" t="b">
        <f>IF(Calcul!$F$2="Constructeur",TRUE,Calcul!$F$2=Source!A44)</f>
        <v>1</v>
      </c>
      <c r="V44" t="b">
        <f>IF(Calcul!$G$2="Mono/Bino",TRUE,Calcul!$G$2=Source!G44)</f>
        <v>1</v>
      </c>
      <c r="W44" t="b">
        <f>IF(Calcul!$H$2="Connectivité",TRUE,Calcul!$H$2=Source!F44)</f>
        <v>1</v>
      </c>
      <c r="X44" t="b">
        <f t="shared" si="1"/>
        <v>1</v>
      </c>
      <c r="Z44">
        <f>IF(X44,ROWS($X$2:X44),"")</f>
        <v>43</v>
      </c>
      <c r="AA44">
        <f>IFERROR(SMALL($Z$2:$Z$86,ROWS(Z$2:$Z44)),"")</f>
        <v>43</v>
      </c>
    </row>
    <row r="45" spans="1:27" x14ac:dyDescent="0.25">
      <c r="A45" t="s">
        <v>32</v>
      </c>
      <c r="B45" s="13" t="s">
        <v>151</v>
      </c>
      <c r="C45" s="1" t="s">
        <v>24</v>
      </c>
      <c r="D45" s="3" t="s">
        <v>160</v>
      </c>
      <c r="E45" s="30">
        <v>149</v>
      </c>
      <c r="F45" s="1" t="s">
        <v>52</v>
      </c>
      <c r="G45" s="1" t="s">
        <v>30</v>
      </c>
      <c r="H45" s="1" t="s">
        <v>169</v>
      </c>
      <c r="I45" s="1" t="s">
        <v>68</v>
      </c>
      <c r="J45" s="1" t="s">
        <v>172</v>
      </c>
      <c r="N45" s="1">
        <v>3</v>
      </c>
      <c r="O45" s="1" t="s">
        <v>84</v>
      </c>
      <c r="P45" s="1" t="s">
        <v>121</v>
      </c>
      <c r="Q45" s="1" t="s">
        <v>84</v>
      </c>
      <c r="S45" s="1" t="s">
        <v>87</v>
      </c>
      <c r="U45" t="b">
        <f>IF(Calcul!$F$2="Constructeur",TRUE,Calcul!$F$2=Source!A45)</f>
        <v>1</v>
      </c>
      <c r="V45" t="b">
        <f>IF(Calcul!$G$2="Mono/Bino",TRUE,Calcul!$G$2=Source!G45)</f>
        <v>1</v>
      </c>
      <c r="W45" t="b">
        <f>IF(Calcul!$H$2="Connectivité",TRUE,Calcul!$H$2=Source!F45)</f>
        <v>1</v>
      </c>
      <c r="X45" t="b">
        <f t="shared" si="1"/>
        <v>1</v>
      </c>
      <c r="Z45">
        <f>IF(X45,ROWS($X$2:X45),"")</f>
        <v>44</v>
      </c>
      <c r="AA45">
        <f>IFERROR(SMALL($Z$2:$Z$86,ROWS(Z$2:$Z45)),"")</f>
        <v>44</v>
      </c>
    </row>
    <row r="46" spans="1:27" x14ac:dyDescent="0.25">
      <c r="A46" t="s">
        <v>32</v>
      </c>
      <c r="B46" s="13" t="s">
        <v>152</v>
      </c>
      <c r="C46" s="1" t="s">
        <v>24</v>
      </c>
      <c r="D46" s="3" t="s">
        <v>161</v>
      </c>
      <c r="E46" s="30">
        <v>149</v>
      </c>
      <c r="F46" s="1" t="s">
        <v>52</v>
      </c>
      <c r="G46" s="1" t="s">
        <v>30</v>
      </c>
      <c r="H46" s="1" t="s">
        <v>169</v>
      </c>
      <c r="I46" s="1" t="s">
        <v>68</v>
      </c>
      <c r="J46" s="1" t="s">
        <v>172</v>
      </c>
      <c r="N46" s="1">
        <v>3</v>
      </c>
      <c r="O46" s="1" t="s">
        <v>85</v>
      </c>
      <c r="P46" s="1" t="s">
        <v>121</v>
      </c>
      <c r="Q46" s="1" t="s">
        <v>85</v>
      </c>
      <c r="S46" s="1" t="s">
        <v>87</v>
      </c>
      <c r="U46" t="b">
        <f>IF(Calcul!$F$2="Constructeur",TRUE,Calcul!$F$2=Source!A46)</f>
        <v>1</v>
      </c>
      <c r="V46" t="b">
        <f>IF(Calcul!$G$2="Mono/Bino",TRUE,Calcul!$G$2=Source!G46)</f>
        <v>1</v>
      </c>
      <c r="W46" t="b">
        <f>IF(Calcul!$H$2="Connectivité",TRUE,Calcul!$H$2=Source!F46)</f>
        <v>1</v>
      </c>
      <c r="X46" t="b">
        <f t="shared" si="1"/>
        <v>1</v>
      </c>
      <c r="Z46">
        <f>IF(X46,ROWS($X$2:X46),"")</f>
        <v>45</v>
      </c>
      <c r="AA46">
        <f>IFERROR(SMALL($Z$2:$Z$86,ROWS(Z$2:$Z46)),"")</f>
        <v>45</v>
      </c>
    </row>
    <row r="47" spans="1:27" x14ac:dyDescent="0.25">
      <c r="A47" t="s">
        <v>32</v>
      </c>
      <c r="B47" s="13" t="s">
        <v>153</v>
      </c>
      <c r="C47" s="1" t="s">
        <v>24</v>
      </c>
      <c r="D47" s="3" t="s">
        <v>162</v>
      </c>
      <c r="E47" s="30">
        <v>149</v>
      </c>
      <c r="F47" s="1" t="s">
        <v>52</v>
      </c>
      <c r="G47" s="1" t="s">
        <v>30</v>
      </c>
      <c r="H47" s="1" t="s">
        <v>170</v>
      </c>
      <c r="I47" s="1" t="s">
        <v>68</v>
      </c>
      <c r="J47" s="1" t="s">
        <v>173</v>
      </c>
      <c r="N47" s="1">
        <v>3</v>
      </c>
      <c r="O47" s="1" t="s">
        <v>84</v>
      </c>
      <c r="P47" s="1" t="s">
        <v>175</v>
      </c>
      <c r="Q47" s="1" t="s">
        <v>84</v>
      </c>
      <c r="S47" s="1" t="s">
        <v>87</v>
      </c>
      <c r="U47" t="b">
        <f>IF(Calcul!$F$2="Constructeur",TRUE,Calcul!$F$2=Source!A47)</f>
        <v>1</v>
      </c>
      <c r="V47" t="b">
        <f>IF(Calcul!$G$2="Mono/Bino",TRUE,Calcul!$G$2=Source!G47)</f>
        <v>1</v>
      </c>
      <c r="W47" t="b">
        <f>IF(Calcul!$H$2="Connectivité",TRUE,Calcul!$H$2=Source!F47)</f>
        <v>1</v>
      </c>
      <c r="X47" t="b">
        <f t="shared" si="1"/>
        <v>1</v>
      </c>
      <c r="Z47">
        <f>IF(X47,ROWS($X$2:X47),"")</f>
        <v>46</v>
      </c>
      <c r="AA47">
        <f>IFERROR(SMALL($Z$2:$Z$86,ROWS(Z$2:$Z47)),"")</f>
        <v>46</v>
      </c>
    </row>
    <row r="48" spans="1:27" x14ac:dyDescent="0.25">
      <c r="A48" t="s">
        <v>32</v>
      </c>
      <c r="B48" s="13" t="s">
        <v>154</v>
      </c>
      <c r="C48" s="1" t="s">
        <v>24</v>
      </c>
      <c r="D48" s="3" t="s">
        <v>163</v>
      </c>
      <c r="E48" s="30">
        <v>149</v>
      </c>
      <c r="F48" s="1" t="s">
        <v>52</v>
      </c>
      <c r="G48" s="1" t="s">
        <v>30</v>
      </c>
      <c r="H48" s="1" t="s">
        <v>170</v>
      </c>
      <c r="I48" s="1" t="s">
        <v>68</v>
      </c>
      <c r="J48" s="1" t="s">
        <v>173</v>
      </c>
      <c r="N48" s="1">
        <v>3</v>
      </c>
      <c r="O48" s="1" t="s">
        <v>85</v>
      </c>
      <c r="P48" s="1" t="s">
        <v>175</v>
      </c>
      <c r="Q48" s="1" t="s">
        <v>85</v>
      </c>
      <c r="S48" s="1" t="s">
        <v>87</v>
      </c>
      <c r="U48" t="b">
        <f>IF(Calcul!$F$2="Constructeur",TRUE,Calcul!$F$2=Source!A48)</f>
        <v>1</v>
      </c>
      <c r="V48" t="b">
        <f>IF(Calcul!$G$2="Mono/Bino",TRUE,Calcul!$G$2=Source!G48)</f>
        <v>1</v>
      </c>
      <c r="W48" t="b">
        <f>IF(Calcul!$H$2="Connectivité",TRUE,Calcul!$H$2=Source!F48)</f>
        <v>1</v>
      </c>
      <c r="X48" t="b">
        <f t="shared" si="1"/>
        <v>1</v>
      </c>
      <c r="Z48">
        <f>IF(X48,ROWS($X$2:X48),"")</f>
        <v>47</v>
      </c>
      <c r="AA48">
        <f>IFERROR(SMALL($Z$2:$Z$86,ROWS(Z$2:$Z48)),"")</f>
        <v>47</v>
      </c>
    </row>
    <row r="49" spans="1:27" x14ac:dyDescent="0.25">
      <c r="A49" t="s">
        <v>32</v>
      </c>
      <c r="B49" s="13" t="s">
        <v>155</v>
      </c>
      <c r="C49" s="1" t="s">
        <v>24</v>
      </c>
      <c r="D49" s="3" t="s">
        <v>164</v>
      </c>
      <c r="E49" s="30">
        <v>169</v>
      </c>
      <c r="F49" s="1" t="s">
        <v>52</v>
      </c>
      <c r="G49" s="1" t="s">
        <v>30</v>
      </c>
      <c r="H49" s="1" t="s">
        <v>170</v>
      </c>
      <c r="I49" s="1" t="s">
        <v>68</v>
      </c>
      <c r="J49" s="1" t="s">
        <v>173</v>
      </c>
      <c r="N49" s="1">
        <v>4</v>
      </c>
      <c r="O49" s="1" t="s">
        <v>85</v>
      </c>
      <c r="P49" s="1" t="s">
        <v>176</v>
      </c>
      <c r="Q49" s="1" t="s">
        <v>85</v>
      </c>
      <c r="S49" s="1" t="s">
        <v>87</v>
      </c>
      <c r="U49" t="b">
        <f>IF(Calcul!$F$2="Constructeur",TRUE,Calcul!$F$2=Source!A49)</f>
        <v>1</v>
      </c>
      <c r="V49" t="b">
        <f>IF(Calcul!$G$2="Mono/Bino",TRUE,Calcul!$G$2=Source!G49)</f>
        <v>1</v>
      </c>
      <c r="W49" t="b">
        <f>IF(Calcul!$H$2="Connectivité",TRUE,Calcul!$H$2=Source!F49)</f>
        <v>1</v>
      </c>
      <c r="X49" t="b">
        <f t="shared" si="1"/>
        <v>1</v>
      </c>
      <c r="Z49">
        <f>IF(X49,ROWS($X$2:X49),"")</f>
        <v>48</v>
      </c>
      <c r="AA49">
        <f>IFERROR(SMALL($Z$2:$Z$86,ROWS(Z$2:$Z49)),"")</f>
        <v>48</v>
      </c>
    </row>
    <row r="50" spans="1:27" x14ac:dyDescent="0.25">
      <c r="A50" t="s">
        <v>32</v>
      </c>
      <c r="B50" s="13" t="s">
        <v>156</v>
      </c>
      <c r="C50" s="1" t="s">
        <v>24</v>
      </c>
      <c r="D50" s="3" t="s">
        <v>165</v>
      </c>
      <c r="E50" s="30">
        <v>249</v>
      </c>
      <c r="F50" s="1" t="s">
        <v>52</v>
      </c>
      <c r="G50" s="1" t="s">
        <v>31</v>
      </c>
      <c r="H50" s="1" t="s">
        <v>171</v>
      </c>
      <c r="I50" s="1" t="s">
        <v>118</v>
      </c>
      <c r="J50" s="1" t="s">
        <v>174</v>
      </c>
      <c r="N50" s="1">
        <v>3</v>
      </c>
      <c r="O50" s="1" t="s">
        <v>84</v>
      </c>
      <c r="P50" s="1" t="s">
        <v>177</v>
      </c>
      <c r="Q50" s="1" t="s">
        <v>84</v>
      </c>
      <c r="S50" s="1" t="s">
        <v>87</v>
      </c>
      <c r="U50" t="b">
        <f>IF(Calcul!$F$2="Constructeur",TRUE,Calcul!$F$2=Source!A50)</f>
        <v>1</v>
      </c>
      <c r="V50" t="b">
        <f>IF(Calcul!$G$2="Mono/Bino",TRUE,Calcul!$G$2=Source!G50)</f>
        <v>1</v>
      </c>
      <c r="W50" t="b">
        <f>IF(Calcul!$H$2="Connectivité",TRUE,Calcul!$H$2=Source!F50)</f>
        <v>1</v>
      </c>
      <c r="X50" t="b">
        <f t="shared" si="1"/>
        <v>1</v>
      </c>
      <c r="Z50">
        <f>IF(X50,ROWS($X$2:X50),"")</f>
        <v>49</v>
      </c>
      <c r="AA50">
        <f>IFERROR(SMALL($Z$2:$Z$86,ROWS(Z$2:$Z50)),"")</f>
        <v>49</v>
      </c>
    </row>
    <row r="51" spans="1:27" x14ac:dyDescent="0.25">
      <c r="A51" t="s">
        <v>32</v>
      </c>
      <c r="B51" s="13" t="s">
        <v>157</v>
      </c>
      <c r="C51" s="1" t="s">
        <v>24</v>
      </c>
      <c r="D51" s="3" t="s">
        <v>166</v>
      </c>
      <c r="E51" s="30">
        <v>299</v>
      </c>
      <c r="F51" s="1" t="s">
        <v>52</v>
      </c>
      <c r="G51" s="1" t="s">
        <v>31</v>
      </c>
      <c r="H51" s="1" t="s">
        <v>171</v>
      </c>
      <c r="I51" s="1" t="s">
        <v>118</v>
      </c>
      <c r="J51" s="1" t="s">
        <v>174</v>
      </c>
      <c r="N51" s="1">
        <v>3</v>
      </c>
      <c r="O51" s="1" t="s">
        <v>84</v>
      </c>
      <c r="P51" s="1" t="s">
        <v>177</v>
      </c>
      <c r="Q51" s="1" t="s">
        <v>84</v>
      </c>
      <c r="S51" s="1" t="s">
        <v>87</v>
      </c>
      <c r="U51" t="b">
        <f>IF(Calcul!$F$2="Constructeur",TRUE,Calcul!$F$2=Source!A51)</f>
        <v>1</v>
      </c>
      <c r="V51" t="b">
        <f>IF(Calcul!$G$2="Mono/Bino",TRUE,Calcul!$G$2=Source!G51)</f>
        <v>1</v>
      </c>
      <c r="W51" t="b">
        <f>IF(Calcul!$H$2="Connectivité",TRUE,Calcul!$H$2=Source!F51)</f>
        <v>1</v>
      </c>
      <c r="X51" t="b">
        <f t="shared" si="1"/>
        <v>1</v>
      </c>
      <c r="Z51">
        <f>IF(X51,ROWS($X$2:X51),"")</f>
        <v>50</v>
      </c>
      <c r="AA51">
        <f>IFERROR(SMALL($Z$2:$Z$86,ROWS(Z$2:$Z51)),"")</f>
        <v>50</v>
      </c>
    </row>
    <row r="52" spans="1:27" x14ac:dyDescent="0.25">
      <c r="A52" t="s">
        <v>32</v>
      </c>
      <c r="B52" s="13" t="s">
        <v>158</v>
      </c>
      <c r="C52" s="1" t="s">
        <v>24</v>
      </c>
      <c r="D52" s="3" t="s">
        <v>167</v>
      </c>
      <c r="E52" s="30">
        <v>249</v>
      </c>
      <c r="F52" s="1" t="s">
        <v>52</v>
      </c>
      <c r="G52" s="1" t="s">
        <v>31</v>
      </c>
      <c r="H52" s="1" t="s">
        <v>171</v>
      </c>
      <c r="I52" s="1" t="s">
        <v>118</v>
      </c>
      <c r="J52" s="1" t="s">
        <v>174</v>
      </c>
      <c r="N52" s="1">
        <v>3</v>
      </c>
      <c r="O52" s="1" t="s">
        <v>85</v>
      </c>
      <c r="P52" s="1" t="s">
        <v>177</v>
      </c>
      <c r="Q52" s="1" t="s">
        <v>85</v>
      </c>
      <c r="S52" s="1" t="s">
        <v>87</v>
      </c>
      <c r="U52" t="b">
        <f>IF(Calcul!$F$2="Constructeur",TRUE,Calcul!$F$2=Source!A52)</f>
        <v>1</v>
      </c>
      <c r="V52" t="b">
        <f>IF(Calcul!$G$2="Mono/Bino",TRUE,Calcul!$G$2=Source!G52)</f>
        <v>1</v>
      </c>
      <c r="W52" t="b">
        <f>IF(Calcul!$H$2="Connectivité",TRUE,Calcul!$H$2=Source!F52)</f>
        <v>1</v>
      </c>
      <c r="X52" t="b">
        <f t="shared" si="1"/>
        <v>1</v>
      </c>
      <c r="Z52">
        <f>IF(X52,ROWS($X$2:X52),"")</f>
        <v>51</v>
      </c>
      <c r="AA52">
        <f>IFERROR(SMALL($Z$2:$Z$86,ROWS(Z$2:$Z52)),"")</f>
        <v>51</v>
      </c>
    </row>
    <row r="53" spans="1:27" x14ac:dyDescent="0.25">
      <c r="A53" t="s">
        <v>32</v>
      </c>
      <c r="B53" s="13" t="s">
        <v>159</v>
      </c>
      <c r="C53" s="1" t="s">
        <v>24</v>
      </c>
      <c r="D53" s="3" t="s">
        <v>168</v>
      </c>
      <c r="E53" s="30">
        <v>299</v>
      </c>
      <c r="F53" s="1" t="s">
        <v>52</v>
      </c>
      <c r="G53" s="1" t="s">
        <v>31</v>
      </c>
      <c r="H53" s="1" t="s">
        <v>171</v>
      </c>
      <c r="I53" s="1" t="s">
        <v>118</v>
      </c>
      <c r="J53" s="1" t="s">
        <v>174</v>
      </c>
      <c r="N53" s="1">
        <v>3</v>
      </c>
      <c r="O53" s="1" t="s">
        <v>85</v>
      </c>
      <c r="P53" s="1" t="s">
        <v>177</v>
      </c>
      <c r="Q53" s="1" t="s">
        <v>85</v>
      </c>
      <c r="S53" s="1" t="s">
        <v>87</v>
      </c>
      <c r="U53" t="b">
        <f>IF(Calcul!$F$2="Constructeur",TRUE,Calcul!$F$2=Source!A53)</f>
        <v>1</v>
      </c>
      <c r="V53" t="b">
        <f>IF(Calcul!$G$2="Mono/Bino",TRUE,Calcul!$G$2=Source!G53)</f>
        <v>1</v>
      </c>
      <c r="W53" t="b">
        <f>IF(Calcul!$H$2="Connectivité",TRUE,Calcul!$H$2=Source!F53)</f>
        <v>1</v>
      </c>
      <c r="X53" t="b">
        <f t="shared" si="1"/>
        <v>1</v>
      </c>
      <c r="Z53">
        <f>IF(X53,ROWS($X$2:X53),"")</f>
        <v>52</v>
      </c>
      <c r="AA53">
        <f>IFERROR(SMALL($Z$2:$Z$86,ROWS(Z$2:$Z53)),"")</f>
        <v>52</v>
      </c>
    </row>
    <row r="54" spans="1:27" x14ac:dyDescent="0.25">
      <c r="A54" t="s">
        <v>55</v>
      </c>
      <c r="B54" s="13" t="s">
        <v>178</v>
      </c>
      <c r="C54" s="1" t="s">
        <v>24</v>
      </c>
      <c r="D54" s="3">
        <v>506042</v>
      </c>
      <c r="E54" s="30">
        <v>219</v>
      </c>
      <c r="F54" s="1" t="s">
        <v>52</v>
      </c>
      <c r="G54" s="1" t="s">
        <v>30</v>
      </c>
      <c r="H54" s="1" t="s">
        <v>182</v>
      </c>
      <c r="I54" s="1" t="s">
        <v>174</v>
      </c>
      <c r="J54" s="1" t="s">
        <v>73</v>
      </c>
      <c r="O54" s="1" t="s">
        <v>85</v>
      </c>
      <c r="P54" s="1" t="s">
        <v>183</v>
      </c>
      <c r="Q54" s="1" t="s">
        <v>84</v>
      </c>
      <c r="S54" s="1" t="s">
        <v>87</v>
      </c>
      <c r="U54" t="b">
        <f>IF(Calcul!$F$2="Constructeur",TRUE,Calcul!$F$2=Source!A54)</f>
        <v>1</v>
      </c>
      <c r="V54" t="b">
        <f>IF(Calcul!$G$2="Mono/Bino",TRUE,Calcul!$G$2=Source!G54)</f>
        <v>1</v>
      </c>
      <c r="W54" t="b">
        <f>IF(Calcul!$H$2="Connectivité",TRUE,Calcul!$H$2=Source!F54)</f>
        <v>1</v>
      </c>
      <c r="X54" t="b">
        <f t="shared" si="1"/>
        <v>1</v>
      </c>
      <c r="Z54">
        <f>IF(X54,ROWS($X$2:X54),"")</f>
        <v>53</v>
      </c>
      <c r="AA54">
        <f>IFERROR(SMALL($Z$2:$Z$86,ROWS(Z$2:$Z54)),"")</f>
        <v>53</v>
      </c>
    </row>
    <row r="55" spans="1:27" x14ac:dyDescent="0.25">
      <c r="A55" t="s">
        <v>55</v>
      </c>
      <c r="B55" s="13" t="s">
        <v>179</v>
      </c>
      <c r="C55" s="1" t="s">
        <v>24</v>
      </c>
      <c r="D55" s="3">
        <v>506043</v>
      </c>
      <c r="E55" s="30">
        <v>219</v>
      </c>
      <c r="F55" s="1" t="s">
        <v>52</v>
      </c>
      <c r="G55" s="1" t="s">
        <v>30</v>
      </c>
      <c r="H55" s="1" t="s">
        <v>182</v>
      </c>
      <c r="I55" s="1" t="s">
        <v>174</v>
      </c>
      <c r="J55" s="1" t="s">
        <v>73</v>
      </c>
      <c r="O55" s="1" t="s">
        <v>85</v>
      </c>
      <c r="P55" s="1" t="s">
        <v>183</v>
      </c>
      <c r="Q55" s="1" t="s">
        <v>85</v>
      </c>
      <c r="S55" s="1" t="s">
        <v>87</v>
      </c>
      <c r="U55" t="b">
        <f>IF(Calcul!$F$2="Constructeur",TRUE,Calcul!$F$2=Source!A55)</f>
        <v>1</v>
      </c>
      <c r="V55" t="b">
        <f>IF(Calcul!$G$2="Mono/Bino",TRUE,Calcul!$G$2=Source!G55)</f>
        <v>1</v>
      </c>
      <c r="W55" t="b">
        <f>IF(Calcul!$H$2="Connectivité",TRUE,Calcul!$H$2=Source!F55)</f>
        <v>1</v>
      </c>
      <c r="X55" t="b">
        <f t="shared" si="1"/>
        <v>1</v>
      </c>
      <c r="Z55">
        <f>IF(X55,ROWS($X$2:X55),"")</f>
        <v>54</v>
      </c>
      <c r="AA55">
        <f>IFERROR(SMALL($Z$2:$Z$86,ROWS(Z$2:$Z55)),"")</f>
        <v>54</v>
      </c>
    </row>
    <row r="56" spans="1:27" x14ac:dyDescent="0.25">
      <c r="A56" t="s">
        <v>55</v>
      </c>
      <c r="B56" s="13" t="s">
        <v>180</v>
      </c>
      <c r="C56" s="1" t="s">
        <v>24</v>
      </c>
      <c r="D56" s="3">
        <v>506045</v>
      </c>
      <c r="E56" s="30">
        <v>239</v>
      </c>
      <c r="F56" s="1" t="s">
        <v>52</v>
      </c>
      <c r="G56" s="1" t="s">
        <v>31</v>
      </c>
      <c r="H56" s="1" t="s">
        <v>182</v>
      </c>
      <c r="I56" s="1" t="s">
        <v>174</v>
      </c>
      <c r="J56" s="1" t="s">
        <v>73</v>
      </c>
      <c r="O56" s="1" t="s">
        <v>85</v>
      </c>
      <c r="P56" s="1" t="s">
        <v>183</v>
      </c>
      <c r="Q56" s="1" t="s">
        <v>84</v>
      </c>
      <c r="S56" s="1" t="s">
        <v>87</v>
      </c>
      <c r="U56" t="b">
        <f>IF(Calcul!$F$2="Constructeur",TRUE,Calcul!$F$2=Source!A56)</f>
        <v>1</v>
      </c>
      <c r="V56" t="b">
        <f>IF(Calcul!$G$2="Mono/Bino",TRUE,Calcul!$G$2=Source!G56)</f>
        <v>1</v>
      </c>
      <c r="W56" t="b">
        <f>IF(Calcul!$H$2="Connectivité",TRUE,Calcul!$H$2=Source!F56)</f>
        <v>1</v>
      </c>
      <c r="X56" t="b">
        <f t="shared" si="1"/>
        <v>1</v>
      </c>
      <c r="Z56">
        <f>IF(X56,ROWS($X$2:X56),"")</f>
        <v>55</v>
      </c>
      <c r="AA56">
        <f>IFERROR(SMALL($Z$2:$Z$86,ROWS(Z$2:$Z56)),"")</f>
        <v>55</v>
      </c>
    </row>
    <row r="57" spans="1:27" x14ac:dyDescent="0.25">
      <c r="A57" t="s">
        <v>55</v>
      </c>
      <c r="B57" s="13" t="s">
        <v>181</v>
      </c>
      <c r="C57" s="1" t="s">
        <v>24</v>
      </c>
      <c r="D57" s="3">
        <v>506046</v>
      </c>
      <c r="E57" s="30">
        <v>239</v>
      </c>
      <c r="F57" s="1" t="s">
        <v>52</v>
      </c>
      <c r="G57" s="1" t="s">
        <v>31</v>
      </c>
      <c r="H57" s="1" t="s">
        <v>182</v>
      </c>
      <c r="I57" s="1" t="s">
        <v>174</v>
      </c>
      <c r="J57" s="1" t="s">
        <v>73</v>
      </c>
      <c r="O57" s="1" t="s">
        <v>85</v>
      </c>
      <c r="P57" s="1" t="s">
        <v>183</v>
      </c>
      <c r="Q57" s="1" t="s">
        <v>85</v>
      </c>
      <c r="S57" s="1" t="s">
        <v>87</v>
      </c>
      <c r="U57" t="b">
        <f>IF(Calcul!$F$2="Constructeur",TRUE,Calcul!$F$2=Source!A57)</f>
        <v>1</v>
      </c>
      <c r="V57" t="b">
        <f>IF(Calcul!$G$2="Mono/Bino",TRUE,Calcul!$G$2=Source!G57)</f>
        <v>1</v>
      </c>
      <c r="W57" t="b">
        <f>IF(Calcul!$H$2="Connectivité",TRUE,Calcul!$H$2=Source!F57)</f>
        <v>1</v>
      </c>
      <c r="X57" t="b">
        <f t="shared" si="1"/>
        <v>1</v>
      </c>
      <c r="Z57">
        <f>IF(X57,ROWS($X$2:X57),"")</f>
        <v>56</v>
      </c>
      <c r="AA57">
        <f>IFERROR(SMALL($Z$2:$Z$86,ROWS(Z$2:$Z57)),"")</f>
        <v>56</v>
      </c>
    </row>
    <row r="58" spans="1:27" x14ac:dyDescent="0.25">
      <c r="A58" t="s">
        <v>19</v>
      </c>
      <c r="B58" s="13" t="s">
        <v>188</v>
      </c>
      <c r="C58" s="1" t="s">
        <v>24</v>
      </c>
      <c r="D58" s="3" t="s">
        <v>184</v>
      </c>
      <c r="E58" s="30">
        <v>379</v>
      </c>
      <c r="F58" s="1" t="s">
        <v>54</v>
      </c>
      <c r="G58" s="1" t="s">
        <v>30</v>
      </c>
      <c r="H58" s="1" t="s">
        <v>106</v>
      </c>
      <c r="I58" s="1" t="s">
        <v>66</v>
      </c>
      <c r="J58" s="1" t="s">
        <v>72</v>
      </c>
      <c r="P58" s="1" t="s">
        <v>192</v>
      </c>
      <c r="Q58" s="1" t="s">
        <v>84</v>
      </c>
      <c r="S58" s="1" t="s">
        <v>87</v>
      </c>
      <c r="U58" t="b">
        <f>IF(Calcul!$F$2="Constructeur",TRUE,Calcul!$F$2=Source!A58)</f>
        <v>1</v>
      </c>
      <c r="V58" t="b">
        <f>IF(Calcul!$G$2="Mono/Bino",TRUE,Calcul!$G$2=Source!G58)</f>
        <v>1</v>
      </c>
      <c r="W58" t="b">
        <f>IF(Calcul!$H$2="Connectivité",TRUE,Calcul!$H$2=Source!F58)</f>
        <v>1</v>
      </c>
      <c r="X58" t="b">
        <f t="shared" si="1"/>
        <v>1</v>
      </c>
      <c r="Z58">
        <f>IF(X58,ROWS($X$2:X58),"")</f>
        <v>57</v>
      </c>
      <c r="AA58">
        <f>IFERROR(SMALL($Z$2:$Z$86,ROWS(Z$2:$Z58)),"")</f>
        <v>57</v>
      </c>
    </row>
    <row r="59" spans="1:27" x14ac:dyDescent="0.25">
      <c r="A59" t="s">
        <v>19</v>
      </c>
      <c r="B59" s="13" t="s">
        <v>189</v>
      </c>
      <c r="C59" s="1" t="s">
        <v>24</v>
      </c>
      <c r="D59" s="3" t="s">
        <v>185</v>
      </c>
      <c r="E59" s="30">
        <v>399</v>
      </c>
      <c r="F59" s="1" t="s">
        <v>54</v>
      </c>
      <c r="G59" s="1" t="s">
        <v>31</v>
      </c>
      <c r="H59" s="1" t="s">
        <v>106</v>
      </c>
      <c r="I59" s="1" t="s">
        <v>66</v>
      </c>
      <c r="J59" s="1" t="s">
        <v>72</v>
      </c>
      <c r="P59" s="1" t="s">
        <v>192</v>
      </c>
      <c r="Q59" s="1" t="s">
        <v>84</v>
      </c>
      <c r="S59" s="1" t="s">
        <v>87</v>
      </c>
      <c r="U59" t="b">
        <f>IF(Calcul!$F$2="Constructeur",TRUE,Calcul!$F$2=Source!A59)</f>
        <v>1</v>
      </c>
      <c r="V59" t="b">
        <f>IF(Calcul!$G$2="Mono/Bino",TRUE,Calcul!$G$2=Source!G59)</f>
        <v>1</v>
      </c>
      <c r="W59" t="b">
        <f>IF(Calcul!$H$2="Connectivité",TRUE,Calcul!$H$2=Source!F59)</f>
        <v>1</v>
      </c>
      <c r="X59" t="b">
        <f t="shared" si="1"/>
        <v>1</v>
      </c>
      <c r="Z59">
        <f>IF(X59,ROWS($X$2:X59),"")</f>
        <v>58</v>
      </c>
      <c r="AA59">
        <f>IFERROR(SMALL($Z$2:$Z$86,ROWS(Z$2:$Z59)),"")</f>
        <v>58</v>
      </c>
    </row>
    <row r="60" spans="1:27" x14ac:dyDescent="0.25">
      <c r="A60" t="s">
        <v>19</v>
      </c>
      <c r="B60" s="13" t="s">
        <v>190</v>
      </c>
      <c r="C60" s="1" t="s">
        <v>24</v>
      </c>
      <c r="D60" s="3" t="s">
        <v>186</v>
      </c>
      <c r="E60" s="30">
        <v>350</v>
      </c>
      <c r="F60" s="1" t="s">
        <v>54</v>
      </c>
      <c r="G60" s="1" t="s">
        <v>30</v>
      </c>
      <c r="H60" s="1" t="s">
        <v>116</v>
      </c>
      <c r="I60" s="1" t="s">
        <v>65</v>
      </c>
      <c r="J60" s="1" t="s">
        <v>146</v>
      </c>
      <c r="P60" s="1" t="s">
        <v>148</v>
      </c>
      <c r="Q60" s="1" t="s">
        <v>84</v>
      </c>
      <c r="S60" s="1" t="s">
        <v>87</v>
      </c>
      <c r="U60" t="b">
        <f>IF(Calcul!$F$2="Constructeur",TRUE,Calcul!$F$2=Source!A60)</f>
        <v>1</v>
      </c>
      <c r="V60" t="b">
        <f>IF(Calcul!$G$2="Mono/Bino",TRUE,Calcul!$G$2=Source!G60)</f>
        <v>1</v>
      </c>
      <c r="W60" t="b">
        <f>IF(Calcul!$H$2="Connectivité",TRUE,Calcul!$H$2=Source!F60)</f>
        <v>1</v>
      </c>
      <c r="X60" t="b">
        <f t="shared" si="1"/>
        <v>1</v>
      </c>
      <c r="Z60">
        <f>IF(X60,ROWS($X$2:X60),"")</f>
        <v>59</v>
      </c>
      <c r="AA60">
        <f>IFERROR(SMALL($Z$2:$Z$86,ROWS(Z$2:$Z60)),"")</f>
        <v>59</v>
      </c>
    </row>
    <row r="61" spans="1:27" x14ac:dyDescent="0.25">
      <c r="A61" t="s">
        <v>19</v>
      </c>
      <c r="B61" s="13" t="s">
        <v>191</v>
      </c>
      <c r="C61" s="1" t="s">
        <v>24</v>
      </c>
      <c r="D61" s="3" t="s">
        <v>187</v>
      </c>
      <c r="E61" s="30">
        <v>350</v>
      </c>
      <c r="F61" s="1" t="s">
        <v>54</v>
      </c>
      <c r="G61" s="1" t="s">
        <v>30</v>
      </c>
      <c r="H61" s="1" t="s">
        <v>116</v>
      </c>
      <c r="I61" s="1" t="s">
        <v>65</v>
      </c>
      <c r="J61" s="1" t="s">
        <v>146</v>
      </c>
      <c r="P61" s="1" t="s">
        <v>148</v>
      </c>
      <c r="Q61" s="1" t="s">
        <v>85</v>
      </c>
      <c r="S61" s="1" t="s">
        <v>87</v>
      </c>
      <c r="U61" t="b">
        <f>IF(Calcul!$F$2="Constructeur",TRUE,Calcul!$F$2=Source!A61)</f>
        <v>1</v>
      </c>
      <c r="V61" t="b">
        <f>IF(Calcul!$G$2="Mono/Bino",TRUE,Calcul!$G$2=Source!G61)</f>
        <v>1</v>
      </c>
      <c r="W61" t="b">
        <f>IF(Calcul!$H$2="Connectivité",TRUE,Calcul!$H$2=Source!F61)</f>
        <v>1</v>
      </c>
      <c r="X61" t="b">
        <f t="shared" si="1"/>
        <v>1</v>
      </c>
      <c r="Z61">
        <f>IF(X61,ROWS($X$2:X61),"")</f>
        <v>60</v>
      </c>
      <c r="AA61">
        <f>IFERROR(SMALL($Z$2:$Z$86,ROWS(Z$2:$Z61)),"")</f>
        <v>60</v>
      </c>
    </row>
    <row r="62" spans="1:27" x14ac:dyDescent="0.25">
      <c r="A62" t="s">
        <v>32</v>
      </c>
      <c r="B62" s="13" t="s">
        <v>193</v>
      </c>
      <c r="C62" s="1" t="s">
        <v>24</v>
      </c>
      <c r="D62" s="3" t="s">
        <v>201</v>
      </c>
      <c r="E62" s="30">
        <v>359</v>
      </c>
      <c r="F62" s="1" t="s">
        <v>54</v>
      </c>
      <c r="G62" s="1" t="s">
        <v>30</v>
      </c>
      <c r="H62" s="1" t="s">
        <v>64</v>
      </c>
      <c r="I62" s="1" t="s">
        <v>66</v>
      </c>
      <c r="J62" s="1" t="s">
        <v>71</v>
      </c>
      <c r="P62" s="1" t="s">
        <v>77</v>
      </c>
      <c r="Q62" s="1" t="s">
        <v>84</v>
      </c>
      <c r="S62" s="1" t="s">
        <v>87</v>
      </c>
      <c r="U62" t="b">
        <f>IF(Calcul!$F$2="Constructeur",TRUE,Calcul!$F$2=Source!A62)</f>
        <v>1</v>
      </c>
      <c r="V62" t="b">
        <f>IF(Calcul!$G$2="Mono/Bino",TRUE,Calcul!$G$2=Source!G62)</f>
        <v>1</v>
      </c>
      <c r="W62" t="b">
        <f>IF(Calcul!$H$2="Connectivité",TRUE,Calcul!$H$2=Source!F62)</f>
        <v>1</v>
      </c>
      <c r="X62" t="b">
        <f t="shared" si="1"/>
        <v>1</v>
      </c>
      <c r="Z62">
        <f>IF(X62,ROWS($X$2:X62),"")</f>
        <v>61</v>
      </c>
      <c r="AA62">
        <f>IFERROR(SMALL($Z$2:$Z$86,ROWS(Z$2:$Z62)),"")</f>
        <v>61</v>
      </c>
    </row>
    <row r="63" spans="1:27" x14ac:dyDescent="0.25">
      <c r="A63" t="s">
        <v>32</v>
      </c>
      <c r="B63" s="13" t="s">
        <v>194</v>
      </c>
      <c r="C63" s="1" t="s">
        <v>24</v>
      </c>
      <c r="D63" s="3" t="s">
        <v>202</v>
      </c>
      <c r="E63" s="30">
        <v>359</v>
      </c>
      <c r="F63" s="1" t="s">
        <v>54</v>
      </c>
      <c r="G63" s="1" t="s">
        <v>30</v>
      </c>
      <c r="H63" s="1" t="s">
        <v>64</v>
      </c>
      <c r="I63" s="1" t="s">
        <v>66</v>
      </c>
      <c r="J63" s="1" t="s">
        <v>71</v>
      </c>
      <c r="P63" s="1" t="s">
        <v>77</v>
      </c>
      <c r="Q63" s="1" t="s">
        <v>85</v>
      </c>
      <c r="S63" s="1" t="s">
        <v>87</v>
      </c>
      <c r="U63" t="b">
        <f>IF(Calcul!$F$2="Constructeur",TRUE,Calcul!$F$2=Source!A63)</f>
        <v>1</v>
      </c>
      <c r="V63" t="b">
        <f>IF(Calcul!$G$2="Mono/Bino",TRUE,Calcul!$G$2=Source!G63)</f>
        <v>1</v>
      </c>
      <c r="W63" t="b">
        <f>IF(Calcul!$H$2="Connectivité",TRUE,Calcul!$H$2=Source!F63)</f>
        <v>1</v>
      </c>
      <c r="X63" t="b">
        <f t="shared" si="1"/>
        <v>1</v>
      </c>
      <c r="Z63">
        <f>IF(X63,ROWS($X$2:X63),"")</f>
        <v>62</v>
      </c>
      <c r="AA63">
        <f>IFERROR(SMALL($Z$2:$Z$86,ROWS(Z$2:$Z63)),"")</f>
        <v>62</v>
      </c>
    </row>
    <row r="64" spans="1:27" x14ac:dyDescent="0.25">
      <c r="A64" t="s">
        <v>32</v>
      </c>
      <c r="B64" s="13" t="s">
        <v>195</v>
      </c>
      <c r="C64" s="1" t="s">
        <v>24</v>
      </c>
      <c r="D64" s="3" t="s">
        <v>203</v>
      </c>
      <c r="E64" s="30">
        <v>389</v>
      </c>
      <c r="F64" s="1" t="s">
        <v>54</v>
      </c>
      <c r="G64" s="1" t="s">
        <v>31</v>
      </c>
      <c r="H64" s="1" t="s">
        <v>64</v>
      </c>
      <c r="I64" s="1" t="s">
        <v>66</v>
      </c>
      <c r="J64" s="1" t="s">
        <v>71</v>
      </c>
      <c r="P64" s="1" t="s">
        <v>78</v>
      </c>
      <c r="Q64" s="1" t="s">
        <v>84</v>
      </c>
      <c r="S64" s="1" t="s">
        <v>87</v>
      </c>
      <c r="U64" t="b">
        <f>IF(Calcul!$F$2="Constructeur",TRUE,Calcul!$F$2=Source!A64)</f>
        <v>1</v>
      </c>
      <c r="V64" t="b">
        <f>IF(Calcul!$G$2="Mono/Bino",TRUE,Calcul!$G$2=Source!G64)</f>
        <v>1</v>
      </c>
      <c r="W64" t="b">
        <f>IF(Calcul!$H$2="Connectivité",TRUE,Calcul!$H$2=Source!F64)</f>
        <v>1</v>
      </c>
      <c r="X64" t="b">
        <f t="shared" si="1"/>
        <v>1</v>
      </c>
      <c r="Z64">
        <f>IF(X64,ROWS($X$2:X64),"")</f>
        <v>63</v>
      </c>
      <c r="AA64">
        <f>IFERROR(SMALL($Z$2:$Z$86,ROWS(Z$2:$Z64)),"")</f>
        <v>63</v>
      </c>
    </row>
    <row r="65" spans="1:27" x14ac:dyDescent="0.25">
      <c r="A65" t="s">
        <v>32</v>
      </c>
      <c r="B65" s="13" t="s">
        <v>196</v>
      </c>
      <c r="C65" s="1" t="s">
        <v>24</v>
      </c>
      <c r="D65" s="3" t="s">
        <v>204</v>
      </c>
      <c r="E65" s="30">
        <v>389</v>
      </c>
      <c r="F65" s="1" t="s">
        <v>54</v>
      </c>
      <c r="G65" s="1" t="s">
        <v>31</v>
      </c>
      <c r="H65" s="1" t="s">
        <v>64</v>
      </c>
      <c r="I65" s="1" t="s">
        <v>66</v>
      </c>
      <c r="J65" s="1" t="s">
        <v>71</v>
      </c>
      <c r="P65" s="1" t="s">
        <v>78</v>
      </c>
      <c r="Q65" s="1" t="s">
        <v>85</v>
      </c>
      <c r="S65" s="1" t="s">
        <v>87</v>
      </c>
      <c r="U65" t="b">
        <f>IF(Calcul!$F$2="Constructeur",TRUE,Calcul!$F$2=Source!A65)</f>
        <v>1</v>
      </c>
      <c r="V65" t="b">
        <f>IF(Calcul!$G$2="Mono/Bino",TRUE,Calcul!$G$2=Source!G65)</f>
        <v>1</v>
      </c>
      <c r="W65" t="b">
        <f>IF(Calcul!$H$2="Connectivité",TRUE,Calcul!$H$2=Source!F65)</f>
        <v>1</v>
      </c>
      <c r="X65" t="b">
        <f t="shared" si="1"/>
        <v>1</v>
      </c>
      <c r="Z65">
        <f>IF(X65,ROWS($X$2:X65),"")</f>
        <v>64</v>
      </c>
      <c r="AA65">
        <f>IFERROR(SMALL($Z$2:$Z$86,ROWS(Z$2:$Z65)),"")</f>
        <v>64</v>
      </c>
    </row>
    <row r="66" spans="1:27" x14ac:dyDescent="0.25">
      <c r="A66" t="s">
        <v>32</v>
      </c>
      <c r="B66" s="13" t="s">
        <v>197</v>
      </c>
      <c r="C66" s="1" t="s">
        <v>24</v>
      </c>
      <c r="D66" s="3" t="s">
        <v>205</v>
      </c>
      <c r="E66" s="30">
        <v>359</v>
      </c>
      <c r="F66" s="1" t="s">
        <v>54</v>
      </c>
      <c r="G66" s="1" t="s">
        <v>30</v>
      </c>
      <c r="H66" s="1" t="s">
        <v>64</v>
      </c>
      <c r="I66" s="1" t="s">
        <v>68</v>
      </c>
      <c r="J66" s="1" t="s">
        <v>72</v>
      </c>
      <c r="P66" s="1" t="s">
        <v>79</v>
      </c>
      <c r="Q66" s="1" t="s">
        <v>84</v>
      </c>
      <c r="S66" s="1" t="s">
        <v>87</v>
      </c>
      <c r="U66" t="b">
        <f>IF(Calcul!$F$2="Constructeur",TRUE,Calcul!$F$2=Source!A66)</f>
        <v>1</v>
      </c>
      <c r="V66" t="b">
        <f>IF(Calcul!$G$2="Mono/Bino",TRUE,Calcul!$G$2=Source!G66)</f>
        <v>1</v>
      </c>
      <c r="W66" t="b">
        <f>IF(Calcul!$H$2="Connectivité",TRUE,Calcul!$H$2=Source!F66)</f>
        <v>1</v>
      </c>
      <c r="X66" t="b">
        <f t="shared" ref="X66" si="2">AND(U66:W66)</f>
        <v>1</v>
      </c>
      <c r="Z66">
        <f>IF(X66,ROWS($X$2:X66),"")</f>
        <v>65</v>
      </c>
      <c r="AA66">
        <f>IFERROR(SMALL($Z$2:$Z$86,ROWS(Z$2:$Z66)),"")</f>
        <v>65</v>
      </c>
    </row>
    <row r="67" spans="1:27" x14ac:dyDescent="0.25">
      <c r="A67" t="s">
        <v>32</v>
      </c>
      <c r="B67" s="13" t="s">
        <v>198</v>
      </c>
      <c r="C67" s="1" t="s">
        <v>24</v>
      </c>
      <c r="D67" s="3" t="s">
        <v>206</v>
      </c>
      <c r="E67" s="30">
        <v>359</v>
      </c>
      <c r="F67" s="1" t="s">
        <v>54</v>
      </c>
      <c r="G67" s="1" t="s">
        <v>30</v>
      </c>
      <c r="H67" s="1" t="s">
        <v>64</v>
      </c>
      <c r="I67" s="1" t="s">
        <v>68</v>
      </c>
      <c r="J67" s="1" t="s">
        <v>72</v>
      </c>
      <c r="P67" s="1" t="s">
        <v>79</v>
      </c>
      <c r="Q67" s="1" t="s">
        <v>85</v>
      </c>
      <c r="S67" s="1" t="s">
        <v>87</v>
      </c>
      <c r="U67" t="b">
        <f>IF(Calcul!$F$2="Constructeur",TRUE,Calcul!$F$2=Source!A67)</f>
        <v>1</v>
      </c>
      <c r="V67" t="b">
        <f>IF(Calcul!$G$2="Mono/Bino",TRUE,Calcul!$G$2=Source!G67)</f>
        <v>1</v>
      </c>
      <c r="W67" t="b">
        <f>IF(Calcul!$H$2="Connectivité",TRUE,Calcul!$H$2=Source!F67)</f>
        <v>1</v>
      </c>
      <c r="X67" t="b">
        <f t="shared" ref="X67:X86" si="3">AND(U67:W67)</f>
        <v>1</v>
      </c>
      <c r="Z67">
        <f>IF(X67,ROWS($X$2:X67),"")</f>
        <v>66</v>
      </c>
      <c r="AA67">
        <f>IFERROR(SMALL($Z$2:$Z$86,ROWS(Z$2:$Z67)),"")</f>
        <v>66</v>
      </c>
    </row>
    <row r="68" spans="1:27" x14ac:dyDescent="0.25">
      <c r="A68" t="s">
        <v>32</v>
      </c>
      <c r="B68" s="13" t="s">
        <v>199</v>
      </c>
      <c r="C68" s="1" t="s">
        <v>24</v>
      </c>
      <c r="D68" s="3" t="s">
        <v>207</v>
      </c>
      <c r="E68" s="30">
        <v>359</v>
      </c>
      <c r="F68" s="1" t="s">
        <v>54</v>
      </c>
      <c r="G68" s="1" t="s">
        <v>30</v>
      </c>
      <c r="H68" s="1" t="s">
        <v>64</v>
      </c>
      <c r="I68" s="1" t="s">
        <v>68</v>
      </c>
      <c r="J68" s="1" t="s">
        <v>71</v>
      </c>
      <c r="P68" s="1" t="s">
        <v>80</v>
      </c>
      <c r="Q68" s="1" t="s">
        <v>84</v>
      </c>
      <c r="S68" s="1" t="s">
        <v>87</v>
      </c>
      <c r="U68" t="b">
        <f>IF(Calcul!$F$2="Constructeur",TRUE,Calcul!$F$2=Source!A68)</f>
        <v>1</v>
      </c>
      <c r="V68" t="b">
        <f>IF(Calcul!$G$2="Mono/Bino",TRUE,Calcul!$G$2=Source!G68)</f>
        <v>1</v>
      </c>
      <c r="W68" t="b">
        <f>IF(Calcul!$H$2="Connectivité",TRUE,Calcul!$H$2=Source!F68)</f>
        <v>1</v>
      </c>
      <c r="X68" t="b">
        <f t="shared" si="3"/>
        <v>1</v>
      </c>
      <c r="Z68">
        <f>IF(X68,ROWS($X$2:X68),"")</f>
        <v>67</v>
      </c>
      <c r="AA68">
        <f>IFERROR(SMALL($Z$2:$Z$86,ROWS(Z$2:$Z68)),"")</f>
        <v>67</v>
      </c>
    </row>
    <row r="69" spans="1:27" x14ac:dyDescent="0.25">
      <c r="A69" t="s">
        <v>32</v>
      </c>
      <c r="B69" s="13" t="s">
        <v>200</v>
      </c>
      <c r="C69" s="1" t="s">
        <v>24</v>
      </c>
      <c r="D69" s="3" t="s">
        <v>208</v>
      </c>
      <c r="E69" s="30">
        <v>359</v>
      </c>
      <c r="F69" s="1" t="s">
        <v>54</v>
      </c>
      <c r="G69" s="1" t="s">
        <v>30</v>
      </c>
      <c r="H69" s="1" t="s">
        <v>64</v>
      </c>
      <c r="I69" s="1" t="s">
        <v>68</v>
      </c>
      <c r="J69" s="1" t="s">
        <v>71</v>
      </c>
      <c r="P69" s="1" t="s">
        <v>80</v>
      </c>
      <c r="Q69" s="1" t="s">
        <v>85</v>
      </c>
      <c r="S69" s="1" t="s">
        <v>87</v>
      </c>
      <c r="U69" t="b">
        <f>IF(Calcul!$F$2="Constructeur",TRUE,Calcul!$F$2=Source!A69)</f>
        <v>1</v>
      </c>
      <c r="V69" t="b">
        <f>IF(Calcul!$G$2="Mono/Bino",TRUE,Calcul!$G$2=Source!G69)</f>
        <v>1</v>
      </c>
      <c r="W69" t="b">
        <f>IF(Calcul!$H$2="Connectivité",TRUE,Calcul!$H$2=Source!F69)</f>
        <v>1</v>
      </c>
      <c r="X69" t="b">
        <f t="shared" si="3"/>
        <v>1</v>
      </c>
      <c r="Z69">
        <f>IF(X69,ROWS($X$2:X69),"")</f>
        <v>68</v>
      </c>
      <c r="AA69">
        <f>IFERROR(SMALL($Z$2:$Z$86,ROWS(Z$2:$Z69)),"")</f>
        <v>68</v>
      </c>
    </row>
    <row r="70" spans="1:27" ht="30" x14ac:dyDescent="0.25">
      <c r="A70" t="s">
        <v>19</v>
      </c>
      <c r="B70" s="13" t="s">
        <v>216</v>
      </c>
      <c r="C70" s="1" t="s">
        <v>24</v>
      </c>
      <c r="D70" s="3" t="s">
        <v>220</v>
      </c>
      <c r="E70" s="30">
        <v>349</v>
      </c>
      <c r="F70" s="1" t="s">
        <v>53</v>
      </c>
      <c r="G70" s="1" t="s">
        <v>30</v>
      </c>
      <c r="H70" s="1" t="s">
        <v>64</v>
      </c>
      <c r="I70" s="1" t="s">
        <v>145</v>
      </c>
      <c r="J70" s="1" t="s">
        <v>224</v>
      </c>
      <c r="K70" s="20" t="s">
        <v>228</v>
      </c>
      <c r="M70" s="5" t="s">
        <v>85</v>
      </c>
      <c r="P70" s="1" t="s">
        <v>226</v>
      </c>
      <c r="Q70" s="1" t="s">
        <v>84</v>
      </c>
      <c r="R70" s="5" t="s">
        <v>111</v>
      </c>
      <c r="S70" s="1" t="s">
        <v>87</v>
      </c>
      <c r="U70" t="b">
        <f>IF(Calcul!$F$2="Constructeur",TRUE,Calcul!$F$2=Source!A70)</f>
        <v>1</v>
      </c>
      <c r="V70" t="b">
        <f>IF(Calcul!$G$2="Mono/Bino",TRUE,Calcul!$G$2=Source!G70)</f>
        <v>1</v>
      </c>
      <c r="W70" t="b">
        <f>IF(Calcul!$H$2="Connectivité",TRUE,Calcul!$H$2=Source!F70)</f>
        <v>1</v>
      </c>
      <c r="X70" t="b">
        <f t="shared" si="3"/>
        <v>1</v>
      </c>
      <c r="Z70">
        <f>IF(X70,ROWS($X$2:X70),"")</f>
        <v>69</v>
      </c>
      <c r="AA70">
        <f>IFERROR(SMALL($Z$2:$Z$86,ROWS(Z$2:$Z70)),"")</f>
        <v>69</v>
      </c>
    </row>
    <row r="71" spans="1:27" x14ac:dyDescent="0.25">
      <c r="A71" t="s">
        <v>19</v>
      </c>
      <c r="B71" s="13" t="s">
        <v>217</v>
      </c>
      <c r="C71" s="1" t="s">
        <v>24</v>
      </c>
      <c r="D71" s="3" t="s">
        <v>221</v>
      </c>
      <c r="E71" s="30">
        <v>369</v>
      </c>
      <c r="F71" s="1" t="s">
        <v>53</v>
      </c>
      <c r="G71" s="1" t="s">
        <v>31</v>
      </c>
      <c r="H71" s="1" t="s">
        <v>64</v>
      </c>
      <c r="I71" s="1" t="s">
        <v>145</v>
      </c>
      <c r="J71" s="1" t="s">
        <v>224</v>
      </c>
      <c r="K71" s="20" t="s">
        <v>235</v>
      </c>
      <c r="M71" s="5" t="s">
        <v>85</v>
      </c>
      <c r="P71" s="1" t="s">
        <v>227</v>
      </c>
      <c r="Q71" s="1" t="s">
        <v>84</v>
      </c>
      <c r="R71" s="5" t="s">
        <v>111</v>
      </c>
      <c r="S71" s="1" t="s">
        <v>87</v>
      </c>
      <c r="U71" t="b">
        <f>IF(Calcul!$F$2="Constructeur",TRUE,Calcul!$F$2=Source!A71)</f>
        <v>1</v>
      </c>
      <c r="V71" t="b">
        <f>IF(Calcul!$G$2="Mono/Bino",TRUE,Calcul!$G$2=Source!G71)</f>
        <v>1</v>
      </c>
      <c r="W71" t="b">
        <f>IF(Calcul!$H$2="Connectivité",TRUE,Calcul!$H$2=Source!F71)</f>
        <v>1</v>
      </c>
      <c r="X71" t="b">
        <f t="shared" si="3"/>
        <v>1</v>
      </c>
      <c r="Z71">
        <f>IF(X71,ROWS($X$2:X71),"")</f>
        <v>70</v>
      </c>
      <c r="AA71">
        <f>IFERROR(SMALL($Z$2:$Z$86,ROWS(Z$2:$Z71)),"")</f>
        <v>70</v>
      </c>
    </row>
    <row r="72" spans="1:27" ht="30" x14ac:dyDescent="0.25">
      <c r="A72" t="s">
        <v>19</v>
      </c>
      <c r="B72" s="13" t="s">
        <v>218</v>
      </c>
      <c r="C72" s="1" t="s">
        <v>24</v>
      </c>
      <c r="D72" s="3" t="s">
        <v>222</v>
      </c>
      <c r="E72" s="30">
        <v>329</v>
      </c>
      <c r="F72" s="1" t="s">
        <v>53</v>
      </c>
      <c r="G72" s="1" t="s">
        <v>30</v>
      </c>
      <c r="H72" s="1" t="s">
        <v>64</v>
      </c>
      <c r="I72" s="1" t="s">
        <v>145</v>
      </c>
      <c r="J72" s="1" t="s">
        <v>225</v>
      </c>
      <c r="K72" s="20" t="s">
        <v>228</v>
      </c>
      <c r="M72" s="5" t="s">
        <v>85</v>
      </c>
      <c r="P72" s="1" t="s">
        <v>109</v>
      </c>
      <c r="Q72" s="1" t="s">
        <v>84</v>
      </c>
      <c r="R72" s="5" t="s">
        <v>111</v>
      </c>
      <c r="S72" s="1" t="s">
        <v>87</v>
      </c>
      <c r="U72" t="b">
        <f>IF(Calcul!$F$2="Constructeur",TRUE,Calcul!$F$2=Source!A72)</f>
        <v>1</v>
      </c>
      <c r="V72" t="b">
        <f>IF(Calcul!$G$2="Mono/Bino",TRUE,Calcul!$G$2=Source!G72)</f>
        <v>1</v>
      </c>
      <c r="W72" t="b">
        <f>IF(Calcul!$H$2="Connectivité",TRUE,Calcul!$H$2=Source!F72)</f>
        <v>1</v>
      </c>
      <c r="X72" t="b">
        <f t="shared" si="3"/>
        <v>1</v>
      </c>
      <c r="Z72">
        <f>IF(X72,ROWS($X$2:X72),"")</f>
        <v>71</v>
      </c>
      <c r="AA72">
        <f>IFERROR(SMALL($Z$2:$Z$86,ROWS(Z$2:$Z72)),"")</f>
        <v>71</v>
      </c>
    </row>
    <row r="73" spans="1:27" x14ac:dyDescent="0.25">
      <c r="A73" t="s">
        <v>19</v>
      </c>
      <c r="B73" s="13" t="s">
        <v>219</v>
      </c>
      <c r="C73" s="1" t="s">
        <v>24</v>
      </c>
      <c r="D73" s="3" t="s">
        <v>223</v>
      </c>
      <c r="E73" s="30">
        <v>350</v>
      </c>
      <c r="F73" s="1" t="s">
        <v>53</v>
      </c>
      <c r="G73" s="1" t="s">
        <v>31</v>
      </c>
      <c r="H73" s="1" t="s">
        <v>64</v>
      </c>
      <c r="I73" s="1" t="s">
        <v>145</v>
      </c>
      <c r="J73" s="1" t="s">
        <v>225</v>
      </c>
      <c r="K73" s="20" t="s">
        <v>235</v>
      </c>
      <c r="M73" s="5" t="s">
        <v>85</v>
      </c>
      <c r="P73" s="1" t="s">
        <v>109</v>
      </c>
      <c r="Q73" s="1" t="s">
        <v>84</v>
      </c>
      <c r="R73" s="5" t="s">
        <v>111</v>
      </c>
      <c r="S73" s="1" t="s">
        <v>87</v>
      </c>
      <c r="U73" t="b">
        <f>IF(Calcul!$F$2="Constructeur",TRUE,Calcul!$F$2=Source!A73)</f>
        <v>1</v>
      </c>
      <c r="V73" t="b">
        <f>IF(Calcul!$G$2="Mono/Bino",TRUE,Calcul!$G$2=Source!G73)</f>
        <v>1</v>
      </c>
      <c r="W73" t="b">
        <f>IF(Calcul!$H$2="Connectivité",TRUE,Calcul!$H$2=Source!F73)</f>
        <v>1</v>
      </c>
      <c r="X73" t="b">
        <f t="shared" si="3"/>
        <v>1</v>
      </c>
      <c r="Z73">
        <f>IF(X73,ROWS($X$2:X73),"")</f>
        <v>72</v>
      </c>
      <c r="AA73">
        <f>IFERROR(SMALL($Z$2:$Z$86,ROWS(Z$2:$Z73)),"")</f>
        <v>72</v>
      </c>
    </row>
    <row r="74" spans="1:27" ht="30" x14ac:dyDescent="0.25">
      <c r="A74" t="s">
        <v>55</v>
      </c>
      <c r="B74" s="13" t="s">
        <v>229</v>
      </c>
      <c r="C74" s="1" t="s">
        <v>24</v>
      </c>
      <c r="D74" s="3">
        <v>504300</v>
      </c>
      <c r="E74" s="30">
        <v>349</v>
      </c>
      <c r="F74" s="1" t="s">
        <v>53</v>
      </c>
      <c r="G74" s="1" t="s">
        <v>30</v>
      </c>
      <c r="H74" s="1" t="s">
        <v>64</v>
      </c>
      <c r="I74" s="1" t="s">
        <v>145</v>
      </c>
      <c r="J74" s="1" t="s">
        <v>73</v>
      </c>
      <c r="K74" s="20" t="s">
        <v>228</v>
      </c>
      <c r="L74" s="1" t="s">
        <v>74</v>
      </c>
      <c r="M74" s="5" t="s">
        <v>84</v>
      </c>
      <c r="P74" s="1" t="s">
        <v>236</v>
      </c>
      <c r="Q74" s="1" t="s">
        <v>84</v>
      </c>
      <c r="S74" s="1" t="s">
        <v>87</v>
      </c>
      <c r="U74" t="b">
        <f>IF(Calcul!$F$2="Constructeur",TRUE,Calcul!$F$2=Source!A74)</f>
        <v>1</v>
      </c>
      <c r="V74" t="b">
        <f>IF(Calcul!$G$2="Mono/Bino",TRUE,Calcul!$G$2=Source!G74)</f>
        <v>1</v>
      </c>
      <c r="W74" t="b">
        <f>IF(Calcul!$H$2="Connectivité",TRUE,Calcul!$H$2=Source!F74)</f>
        <v>1</v>
      </c>
      <c r="X74" t="b">
        <f t="shared" si="3"/>
        <v>1</v>
      </c>
      <c r="Z74">
        <f>IF(X74,ROWS($X$2:X74),"")</f>
        <v>73</v>
      </c>
      <c r="AA74">
        <f>IFERROR(SMALL($Z$2:$Z$86,ROWS(Z$2:$Z74)),"")</f>
        <v>73</v>
      </c>
    </row>
    <row r="75" spans="1:27" ht="30" x14ac:dyDescent="0.25">
      <c r="A75" t="s">
        <v>55</v>
      </c>
      <c r="B75" s="13" t="s">
        <v>230</v>
      </c>
      <c r="C75" s="1" t="s">
        <v>24</v>
      </c>
      <c r="D75" s="3">
        <v>504454</v>
      </c>
      <c r="E75" s="30">
        <v>349</v>
      </c>
      <c r="F75" s="1" t="s">
        <v>53</v>
      </c>
      <c r="G75" s="1" t="s">
        <v>30</v>
      </c>
      <c r="H75" s="1" t="s">
        <v>64</v>
      </c>
      <c r="I75" s="1" t="s">
        <v>145</v>
      </c>
      <c r="J75" s="1" t="s">
        <v>73</v>
      </c>
      <c r="K75" s="20" t="s">
        <v>228</v>
      </c>
      <c r="L75" s="1" t="s">
        <v>74</v>
      </c>
      <c r="M75" s="5" t="s">
        <v>84</v>
      </c>
      <c r="P75" s="1" t="s">
        <v>236</v>
      </c>
      <c r="Q75" s="1" t="s">
        <v>85</v>
      </c>
      <c r="S75" s="1" t="s">
        <v>87</v>
      </c>
      <c r="U75" t="b">
        <f>IF(Calcul!$F$2="Constructeur",TRUE,Calcul!$F$2=Source!A75)</f>
        <v>1</v>
      </c>
      <c r="V75" t="b">
        <f>IF(Calcul!$G$2="Mono/Bino",TRUE,Calcul!$G$2=Source!G75)</f>
        <v>1</v>
      </c>
      <c r="W75" t="b">
        <f>IF(Calcul!$H$2="Connectivité",TRUE,Calcul!$H$2=Source!F75)</f>
        <v>1</v>
      </c>
      <c r="X75" t="b">
        <f t="shared" si="3"/>
        <v>1</v>
      </c>
      <c r="Z75">
        <f>IF(X75,ROWS($X$2:X75),"")</f>
        <v>74</v>
      </c>
      <c r="AA75">
        <f>IFERROR(SMALL($Z$2:$Z$86,ROWS(Z$2:$Z75)),"")</f>
        <v>74</v>
      </c>
    </row>
    <row r="76" spans="1:27" x14ac:dyDescent="0.25">
      <c r="A76" t="s">
        <v>55</v>
      </c>
      <c r="B76" s="13" t="s">
        <v>231</v>
      </c>
      <c r="C76" s="1" t="s">
        <v>24</v>
      </c>
      <c r="D76" s="3">
        <v>504304</v>
      </c>
      <c r="E76" s="29">
        <v>349</v>
      </c>
      <c r="F76" s="1" t="s">
        <v>53</v>
      </c>
      <c r="G76" s="1" t="s">
        <v>30</v>
      </c>
      <c r="H76" s="1" t="s">
        <v>64</v>
      </c>
      <c r="I76" s="1" t="s">
        <v>145</v>
      </c>
      <c r="J76" s="1" t="s">
        <v>73</v>
      </c>
      <c r="L76" s="1" t="s">
        <v>74</v>
      </c>
      <c r="M76" s="5" t="s">
        <v>85</v>
      </c>
      <c r="P76" s="1" t="s">
        <v>82</v>
      </c>
      <c r="Q76" s="1" t="s">
        <v>84</v>
      </c>
      <c r="S76" s="1" t="s">
        <v>87</v>
      </c>
      <c r="U76" t="b">
        <f>IF(Calcul!$F$2="Constructeur",TRUE,Calcul!$F$2=Source!A76)</f>
        <v>1</v>
      </c>
      <c r="V76" t="b">
        <f>IF(Calcul!$G$2="Mono/Bino",TRUE,Calcul!$G$2=Source!G76)</f>
        <v>1</v>
      </c>
      <c r="W76" t="b">
        <f>IF(Calcul!$H$2="Connectivité",TRUE,Calcul!$H$2=Source!F76)</f>
        <v>1</v>
      </c>
      <c r="X76" t="b">
        <f t="shared" si="3"/>
        <v>1</v>
      </c>
      <c r="Z76">
        <f>IF(X76,ROWS($X$2:X76),"")</f>
        <v>75</v>
      </c>
      <c r="AA76">
        <f>IFERROR(SMALL($Z$2:$Z$86,ROWS(Z$2:$Z76)),"")</f>
        <v>75</v>
      </c>
    </row>
    <row r="77" spans="1:27" x14ac:dyDescent="0.25">
      <c r="A77" t="s">
        <v>55</v>
      </c>
      <c r="B77" s="13" t="s">
        <v>232</v>
      </c>
      <c r="C77" s="1" t="s">
        <v>24</v>
      </c>
      <c r="D77" s="3">
        <v>504458</v>
      </c>
      <c r="E77" s="30">
        <v>349</v>
      </c>
      <c r="F77" s="1" t="s">
        <v>53</v>
      </c>
      <c r="G77" s="1" t="s">
        <v>30</v>
      </c>
      <c r="H77" s="1" t="s">
        <v>64</v>
      </c>
      <c r="I77" s="1" t="s">
        <v>145</v>
      </c>
      <c r="J77" s="1" t="s">
        <v>73</v>
      </c>
      <c r="L77" s="1" t="s">
        <v>74</v>
      </c>
      <c r="M77" s="5" t="s">
        <v>85</v>
      </c>
      <c r="P77" s="1" t="s">
        <v>82</v>
      </c>
      <c r="Q77" s="1" t="s">
        <v>85</v>
      </c>
      <c r="S77" s="1" t="s">
        <v>87</v>
      </c>
      <c r="U77" t="b">
        <f>IF(Calcul!$F$2="Constructeur",TRUE,Calcul!$F$2=Source!A77)</f>
        <v>1</v>
      </c>
      <c r="V77" t="b">
        <f>IF(Calcul!$G$2="Mono/Bino",TRUE,Calcul!$G$2=Source!G77)</f>
        <v>1</v>
      </c>
      <c r="W77" t="b">
        <f>IF(Calcul!$H$2="Connectivité",TRUE,Calcul!$H$2=Source!F77)</f>
        <v>1</v>
      </c>
      <c r="X77" t="b">
        <f t="shared" si="3"/>
        <v>1</v>
      </c>
      <c r="Z77">
        <f>IF(X77,ROWS($X$2:X77),"")</f>
        <v>76</v>
      </c>
      <c r="AA77">
        <f>IFERROR(SMALL($Z$2:$Z$86,ROWS(Z$2:$Z77)),"")</f>
        <v>76</v>
      </c>
    </row>
    <row r="78" spans="1:27" x14ac:dyDescent="0.25">
      <c r="A78" t="s">
        <v>55</v>
      </c>
      <c r="B78" s="13" t="s">
        <v>233</v>
      </c>
      <c r="C78" s="1" t="s">
        <v>24</v>
      </c>
      <c r="D78" s="3">
        <v>504308</v>
      </c>
      <c r="E78" s="30">
        <v>369</v>
      </c>
      <c r="F78" s="1" t="s">
        <v>53</v>
      </c>
      <c r="G78" s="1" t="s">
        <v>31</v>
      </c>
      <c r="H78" s="1" t="s">
        <v>64</v>
      </c>
      <c r="I78" s="1" t="s">
        <v>145</v>
      </c>
      <c r="J78" s="1" t="s">
        <v>73</v>
      </c>
      <c r="L78" s="1" t="s">
        <v>74</v>
      </c>
      <c r="M78" s="5" t="s">
        <v>85</v>
      </c>
      <c r="P78" s="1" t="s">
        <v>83</v>
      </c>
      <c r="Q78" s="1" t="s">
        <v>84</v>
      </c>
      <c r="S78" s="1" t="s">
        <v>87</v>
      </c>
      <c r="U78" t="b">
        <f>IF(Calcul!$F$2="Constructeur",TRUE,Calcul!$F$2=Source!A78)</f>
        <v>1</v>
      </c>
      <c r="V78" t="b">
        <f>IF(Calcul!$G$2="Mono/Bino",TRUE,Calcul!$G$2=Source!G78)</f>
        <v>1</v>
      </c>
      <c r="W78" t="b">
        <f>IF(Calcul!$H$2="Connectivité",TRUE,Calcul!$H$2=Source!F78)</f>
        <v>1</v>
      </c>
      <c r="X78" t="b">
        <f t="shared" si="3"/>
        <v>1</v>
      </c>
      <c r="Z78">
        <f>IF(X78,ROWS($X$2:X78),"")</f>
        <v>77</v>
      </c>
      <c r="AA78">
        <f>IFERROR(SMALL($Z$2:$Z$86,ROWS(Z$2:$Z78)),"")</f>
        <v>77</v>
      </c>
    </row>
    <row r="79" spans="1:27" x14ac:dyDescent="0.25">
      <c r="A79" t="s">
        <v>55</v>
      </c>
      <c r="B79" s="13" t="s">
        <v>234</v>
      </c>
      <c r="C79" s="1" t="s">
        <v>24</v>
      </c>
      <c r="D79" s="3">
        <v>504462</v>
      </c>
      <c r="E79" s="30">
        <v>369</v>
      </c>
      <c r="F79" s="1" t="s">
        <v>53</v>
      </c>
      <c r="G79" s="1" t="s">
        <v>31</v>
      </c>
      <c r="H79" s="1" t="s">
        <v>64</v>
      </c>
      <c r="I79" s="1" t="s">
        <v>145</v>
      </c>
      <c r="J79" s="1" t="s">
        <v>73</v>
      </c>
      <c r="L79" s="1" t="s">
        <v>74</v>
      </c>
      <c r="M79" s="5" t="s">
        <v>85</v>
      </c>
      <c r="P79" s="1" t="s">
        <v>83</v>
      </c>
      <c r="Q79" s="1" t="s">
        <v>85</v>
      </c>
      <c r="S79" s="1" t="s">
        <v>87</v>
      </c>
      <c r="U79" t="b">
        <f>IF(Calcul!$F$2="Constructeur",TRUE,Calcul!$F$2=Source!A79)</f>
        <v>1</v>
      </c>
      <c r="V79" t="b">
        <f>IF(Calcul!$G$2="Mono/Bino",TRUE,Calcul!$G$2=Source!G79)</f>
        <v>1</v>
      </c>
      <c r="W79" t="b">
        <f>IF(Calcul!$H$2="Connectivité",TRUE,Calcul!$H$2=Source!F79)</f>
        <v>1</v>
      </c>
      <c r="X79" t="b">
        <f t="shared" si="3"/>
        <v>1</v>
      </c>
      <c r="Z79">
        <f>IF(X79,ROWS($X$2:X79),"")</f>
        <v>78</v>
      </c>
      <c r="AA79">
        <f>IFERROR(SMALL($Z$2:$Z$86,ROWS(Z$2:$Z79)),"")</f>
        <v>78</v>
      </c>
    </row>
    <row r="80" spans="1:27" x14ac:dyDescent="0.25">
      <c r="A80" t="s">
        <v>19</v>
      </c>
      <c r="B80" s="13" t="s">
        <v>238</v>
      </c>
      <c r="C80" s="1" t="s">
        <v>24</v>
      </c>
      <c r="D80" s="3" t="s">
        <v>245</v>
      </c>
      <c r="E80" s="30">
        <v>159</v>
      </c>
      <c r="F80" s="1" t="s">
        <v>237</v>
      </c>
      <c r="H80" s="1" t="s">
        <v>116</v>
      </c>
      <c r="I80" s="1" t="s">
        <v>174</v>
      </c>
      <c r="M80" s="4"/>
      <c r="O80" s="1" t="s">
        <v>85</v>
      </c>
      <c r="P80" s="1" t="s">
        <v>254</v>
      </c>
      <c r="Q80" s="1" t="s">
        <v>84</v>
      </c>
      <c r="S80" s="1" t="s">
        <v>87</v>
      </c>
      <c r="U80" t="b">
        <f>IF(Calcul!$F$2="Constructeur",TRUE,Calcul!$F$2=Source!A80)</f>
        <v>1</v>
      </c>
      <c r="V80" t="b">
        <f>IF(Calcul!$G$2="Mono/Bino",TRUE,Calcul!$G$2=Source!G80)</f>
        <v>1</v>
      </c>
      <c r="W80" t="b">
        <f>IF(Calcul!$H$2="Connectivité",TRUE,Calcul!$H$2=Source!F80)</f>
        <v>1</v>
      </c>
      <c r="X80" t="b">
        <f t="shared" si="3"/>
        <v>1</v>
      </c>
      <c r="Z80">
        <f>IF(X80,ROWS($X$2:X80),"")</f>
        <v>79</v>
      </c>
      <c r="AA80">
        <f>IFERROR(SMALL($Z$2:$Z$86,ROWS(Z$2:$Z80)),"")</f>
        <v>79</v>
      </c>
    </row>
    <row r="81" spans="1:27" x14ac:dyDescent="0.25">
      <c r="A81" t="s">
        <v>19</v>
      </c>
      <c r="B81" s="13" t="s">
        <v>239</v>
      </c>
      <c r="C81" s="1" t="s">
        <v>24</v>
      </c>
      <c r="D81" s="3" t="s">
        <v>246</v>
      </c>
      <c r="E81" s="30">
        <v>129</v>
      </c>
      <c r="F81" s="1" t="s">
        <v>237</v>
      </c>
      <c r="H81" s="1" t="s">
        <v>116</v>
      </c>
      <c r="I81" s="1" t="s">
        <v>174</v>
      </c>
      <c r="M81" s="4"/>
      <c r="P81" s="1" t="s">
        <v>254</v>
      </c>
      <c r="Q81" s="1" t="s">
        <v>85</v>
      </c>
      <c r="S81" s="1" t="s">
        <v>87</v>
      </c>
      <c r="U81" t="b">
        <f>IF(Calcul!$F$2="Constructeur",TRUE,Calcul!$F$2=Source!A81)</f>
        <v>1</v>
      </c>
      <c r="V81" t="b">
        <f>IF(Calcul!$G$2="Mono/Bino",TRUE,Calcul!$G$2=Source!G81)</f>
        <v>1</v>
      </c>
      <c r="W81" t="b">
        <f>IF(Calcul!$H$2="Connectivité",TRUE,Calcul!$H$2=Source!F81)</f>
        <v>1</v>
      </c>
      <c r="X81" t="b">
        <f t="shared" si="3"/>
        <v>1</v>
      </c>
      <c r="Z81">
        <f>IF(X81,ROWS($X$2:X81),"")</f>
        <v>80</v>
      </c>
      <c r="AA81">
        <f>IFERROR(SMALL($Z$2:$Z$86,ROWS(Z$2:$Z81)),"")</f>
        <v>80</v>
      </c>
    </row>
    <row r="82" spans="1:27" x14ac:dyDescent="0.25">
      <c r="A82" t="s">
        <v>19</v>
      </c>
      <c r="B82" s="13" t="s">
        <v>240</v>
      </c>
      <c r="C82" s="1" t="s">
        <v>24</v>
      </c>
      <c r="D82" s="3" t="s">
        <v>247</v>
      </c>
      <c r="E82" s="30">
        <v>129</v>
      </c>
      <c r="F82" s="1" t="s">
        <v>237</v>
      </c>
      <c r="H82" s="1" t="s">
        <v>116</v>
      </c>
      <c r="I82" s="1" t="s">
        <v>174</v>
      </c>
      <c r="M82" s="4"/>
      <c r="P82" s="1" t="s">
        <v>254</v>
      </c>
      <c r="Q82" s="1" t="s">
        <v>84</v>
      </c>
      <c r="S82" s="1" t="s">
        <v>87</v>
      </c>
      <c r="U82" t="b">
        <f>IF(Calcul!$F$2="Constructeur",TRUE,Calcul!$F$2=Source!A82)</f>
        <v>1</v>
      </c>
      <c r="V82" t="b">
        <f>IF(Calcul!$G$2="Mono/Bino",TRUE,Calcul!$G$2=Source!G82)</f>
        <v>1</v>
      </c>
      <c r="W82" t="b">
        <f>IF(Calcul!$H$2="Connectivité",TRUE,Calcul!$H$2=Source!F82)</f>
        <v>1</v>
      </c>
      <c r="X82" t="b">
        <f t="shared" si="3"/>
        <v>1</v>
      </c>
      <c r="Z82">
        <f>IF(X82,ROWS($X$2:X82),"")</f>
        <v>81</v>
      </c>
      <c r="AA82">
        <f>IFERROR(SMALL($Z$2:$Z$86,ROWS(Z$2:$Z82)),"")</f>
        <v>81</v>
      </c>
    </row>
    <row r="83" spans="1:27" x14ac:dyDescent="0.25">
      <c r="A83" t="s">
        <v>19</v>
      </c>
      <c r="B83" s="13" t="s">
        <v>241</v>
      </c>
      <c r="C83" s="1" t="s">
        <v>24</v>
      </c>
      <c r="D83" s="3" t="s">
        <v>248</v>
      </c>
      <c r="E83" s="30">
        <v>599</v>
      </c>
      <c r="F83" s="1" t="s">
        <v>237</v>
      </c>
      <c r="H83" s="1" t="s">
        <v>116</v>
      </c>
      <c r="I83" s="1" t="s">
        <v>174</v>
      </c>
      <c r="M83" s="4"/>
      <c r="P83" s="1" t="s">
        <v>254</v>
      </c>
      <c r="Q83" s="1" t="s">
        <v>84</v>
      </c>
      <c r="S83" s="1" t="s">
        <v>87</v>
      </c>
      <c r="U83" t="b">
        <f>IF(Calcul!$F$2="Constructeur",TRUE,Calcul!$F$2=Source!A83)</f>
        <v>1</v>
      </c>
      <c r="V83" t="b">
        <f>IF(Calcul!$G$2="Mono/Bino",TRUE,Calcul!$G$2=Source!G83)</f>
        <v>1</v>
      </c>
      <c r="W83" t="b">
        <f>IF(Calcul!$H$2="Connectivité",TRUE,Calcul!$H$2=Source!F83)</f>
        <v>1</v>
      </c>
      <c r="X83" t="b">
        <f t="shared" si="3"/>
        <v>1</v>
      </c>
      <c r="Z83">
        <f>IF(X83,ROWS($X$2:X83),"")</f>
        <v>82</v>
      </c>
      <c r="AA83">
        <f>IFERROR(SMALL($Z$2:$Z$86,ROWS(Z$2:$Z83)),"")</f>
        <v>82</v>
      </c>
    </row>
    <row r="84" spans="1:27" x14ac:dyDescent="0.25">
      <c r="A84" t="s">
        <v>19</v>
      </c>
      <c r="B84" s="13" t="s">
        <v>242</v>
      </c>
      <c r="C84" s="1" t="s">
        <v>24</v>
      </c>
      <c r="D84" s="3" t="s">
        <v>249</v>
      </c>
      <c r="E84" s="30">
        <v>599</v>
      </c>
      <c r="F84" s="1" t="s">
        <v>237</v>
      </c>
      <c r="H84" s="1" t="s">
        <v>116</v>
      </c>
      <c r="I84" s="1" t="s">
        <v>174</v>
      </c>
      <c r="M84" s="4"/>
      <c r="P84" s="1" t="s">
        <v>254</v>
      </c>
      <c r="Q84" s="1" t="s">
        <v>85</v>
      </c>
      <c r="S84" s="1" t="s">
        <v>87</v>
      </c>
      <c r="U84" t="b">
        <f>IF(Calcul!$F$2="Constructeur",TRUE,Calcul!$F$2=Source!A84)</f>
        <v>1</v>
      </c>
      <c r="V84" t="b">
        <f>IF(Calcul!$G$2="Mono/Bino",TRUE,Calcul!$G$2=Source!G84)</f>
        <v>1</v>
      </c>
      <c r="W84" t="b">
        <f>IF(Calcul!$H$2="Connectivité",TRUE,Calcul!$H$2=Source!F84)</f>
        <v>1</v>
      </c>
      <c r="X84" t="b">
        <f t="shared" si="3"/>
        <v>1</v>
      </c>
      <c r="Z84">
        <f>IF(X84,ROWS($X$2:X84),"")</f>
        <v>83</v>
      </c>
      <c r="AA84">
        <f>IFERROR(SMALL($Z$2:$Z$86,ROWS(Z$2:$Z84)),"")</f>
        <v>83</v>
      </c>
    </row>
    <row r="85" spans="1:27" x14ac:dyDescent="0.25">
      <c r="A85" t="s">
        <v>32</v>
      </c>
      <c r="B85" s="13" t="s">
        <v>243</v>
      </c>
      <c r="C85" s="1" t="s">
        <v>24</v>
      </c>
      <c r="D85" s="3" t="s">
        <v>250</v>
      </c>
      <c r="E85" s="30">
        <v>129</v>
      </c>
      <c r="F85" s="1" t="s">
        <v>237</v>
      </c>
      <c r="H85" s="1" t="s">
        <v>252</v>
      </c>
      <c r="I85" s="1" t="s">
        <v>68</v>
      </c>
      <c r="J85" s="1" t="s">
        <v>253</v>
      </c>
      <c r="M85" s="4"/>
      <c r="O85" s="1" t="s">
        <v>85</v>
      </c>
      <c r="P85" s="1" t="s">
        <v>255</v>
      </c>
      <c r="Q85" s="1" t="s">
        <v>84</v>
      </c>
      <c r="S85" s="1" t="s">
        <v>87</v>
      </c>
      <c r="U85" t="b">
        <f>IF(Calcul!$F$2="Constructeur",TRUE,Calcul!$F$2=Source!A85)</f>
        <v>1</v>
      </c>
      <c r="V85" t="b">
        <f>IF(Calcul!$G$2="Mono/Bino",TRUE,Calcul!$G$2=Source!G85)</f>
        <v>1</v>
      </c>
      <c r="W85" t="b">
        <f>IF(Calcul!$H$2="Connectivité",TRUE,Calcul!$H$2=Source!F85)</f>
        <v>1</v>
      </c>
      <c r="X85" t="b">
        <f t="shared" si="3"/>
        <v>1</v>
      </c>
      <c r="Z85">
        <f>IF(X85,ROWS($X$2:X85),"")</f>
        <v>84</v>
      </c>
      <c r="AA85">
        <f>IFERROR(SMALL($Z$2:$Z$86,ROWS(Z$2:$Z85)),"")</f>
        <v>84</v>
      </c>
    </row>
    <row r="86" spans="1:27" x14ac:dyDescent="0.25">
      <c r="A86" t="s">
        <v>32</v>
      </c>
      <c r="B86" s="13" t="s">
        <v>244</v>
      </c>
      <c r="C86" s="1" t="s">
        <v>24</v>
      </c>
      <c r="D86" s="3" t="s">
        <v>251</v>
      </c>
      <c r="E86" s="30">
        <v>129</v>
      </c>
      <c r="F86" s="1" t="s">
        <v>237</v>
      </c>
      <c r="H86" s="1" t="s">
        <v>252</v>
      </c>
      <c r="I86" s="1" t="s">
        <v>68</v>
      </c>
      <c r="J86" s="1" t="s">
        <v>253</v>
      </c>
      <c r="M86" s="4"/>
      <c r="O86" s="1" t="s">
        <v>85</v>
      </c>
      <c r="P86" s="1" t="s">
        <v>255</v>
      </c>
      <c r="Q86" s="1" t="s">
        <v>85</v>
      </c>
      <c r="S86" s="1" t="s">
        <v>87</v>
      </c>
      <c r="U86" t="b">
        <f>IF(Calcul!$F$2="Constructeur",TRUE,Calcul!$F$2=Source!A86)</f>
        <v>1</v>
      </c>
      <c r="V86" t="b">
        <f>IF(Calcul!$G$2="Mono/Bino",TRUE,Calcul!$G$2=Source!G86)</f>
        <v>1</v>
      </c>
      <c r="W86" t="b">
        <f>IF(Calcul!$H$2="Connectivité",TRUE,Calcul!$H$2=Source!F86)</f>
        <v>1</v>
      </c>
      <c r="X86" t="b">
        <f t="shared" si="3"/>
        <v>1</v>
      </c>
      <c r="Z86">
        <f>IF(X86,ROWS($X$2:X86),"")</f>
        <v>85</v>
      </c>
      <c r="AA86">
        <f>IFERROR(SMALL($Z$2:$Z$86,ROWS(Z$2:$Z86)),"")</f>
        <v>85</v>
      </c>
    </row>
    <row r="87" spans="1:27" x14ac:dyDescent="0.25">
      <c r="M87" s="4"/>
    </row>
    <row r="88" spans="1:27" x14ac:dyDescent="0.25">
      <c r="G88" s="10"/>
      <c r="M88" s="4"/>
    </row>
    <row r="89" spans="1:27" x14ac:dyDescent="0.25">
      <c r="M89" s="4"/>
    </row>
    <row r="90" spans="1:27" x14ac:dyDescent="0.25">
      <c r="M90" s="4"/>
    </row>
    <row r="91" spans="1:27" x14ac:dyDescent="0.25">
      <c r="M91" s="4"/>
    </row>
  </sheetData>
  <autoFilter ref="A1:S1"/>
  <hyperlinks>
    <hyperlink ref="B3" r:id="rId1" display="PRO 930 MONO"/>
    <hyperlink ref="B4" r:id="rId2" display="PRO 930 MONO"/>
    <hyperlink ref="B5" r:id="rId3" display="PRO 930 MONO"/>
    <hyperlink ref="B24" r:id="rId4"/>
    <hyperlink ref="B25" r:id="rId5"/>
    <hyperlink ref="B26" r:id="rId6"/>
    <hyperlink ref="B27" r:id="rId7"/>
    <hyperlink ref="F27:G27" r:id="rId8" display="PRO 920 MONO"/>
    <hyperlink ref="B23" r:id="rId9"/>
    <hyperlink ref="B22" r:id="rId10"/>
    <hyperlink ref="B28" r:id="rId11" location="description"/>
    <hyperlink ref="B35" r:id="rId12"/>
    <hyperlink ref="B36" r:id="rId13"/>
    <hyperlink ref="B37" r:id="rId14"/>
    <hyperlink ref="B38" r:id="rId15"/>
    <hyperlink ref="B47" r:id="rId16"/>
    <hyperlink ref="B48" r:id="rId17"/>
    <hyperlink ref="B45" r:id="rId18"/>
    <hyperlink ref="B46" r:id="rId19" display="Voyager Legend UC MS"/>
    <hyperlink ref="B49" r:id="rId20"/>
    <hyperlink ref="B59" r:id="rId21"/>
    <hyperlink ref="B58" r:id="rId22"/>
    <hyperlink ref="F67:G67" r:id="rId23" display="MOTION OFFICE"/>
    <hyperlink ref="B68" r:id="rId24"/>
    <hyperlink ref="B69" r:id="rId25" display="SAVI W740 - M"/>
  </hyperlinks>
  <pageMargins left="0.7" right="0.7" top="0.75" bottom="0.75" header="0.3" footer="0.3"/>
  <pageSetup paperSize="9" orientation="portrait" r:id="rId2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8"/>
  <sheetViews>
    <sheetView workbookViewId="0">
      <selection activeCell="G6" sqref="G6"/>
    </sheetView>
  </sheetViews>
  <sheetFormatPr baseColWidth="10" defaultRowHeight="15" x14ac:dyDescent="0.25"/>
  <cols>
    <col min="1" max="1" width="12.7109375" bestFit="1" customWidth="1"/>
    <col min="3" max="3" width="13.5703125" bestFit="1" customWidth="1"/>
    <col min="6" max="6" width="14.28515625" customWidth="1"/>
    <col min="8" max="8" width="12.5703125" customWidth="1"/>
  </cols>
  <sheetData>
    <row r="1" spans="1:8" s="7" customFormat="1" x14ac:dyDescent="0.25">
      <c r="A1" s="7" t="s">
        <v>16</v>
      </c>
      <c r="B1" s="7" t="s">
        <v>11</v>
      </c>
      <c r="C1" s="7" t="s">
        <v>17</v>
      </c>
      <c r="F1" s="11">
        <v>1</v>
      </c>
      <c r="G1" s="11">
        <v>1</v>
      </c>
      <c r="H1" s="11">
        <v>1</v>
      </c>
    </row>
    <row r="2" spans="1:8" x14ac:dyDescent="0.25">
      <c r="A2" t="s">
        <v>19</v>
      </c>
      <c r="B2" t="s">
        <v>30</v>
      </c>
      <c r="C2" t="s">
        <v>29</v>
      </c>
      <c r="F2" s="12" t="str">
        <f>INDEX(A1:A4,F1)</f>
        <v>Constructeur</v>
      </c>
      <c r="G2" s="12" t="str">
        <f>INDEX(B1:B3,G1)</f>
        <v>Mono/Bino</v>
      </c>
      <c r="H2" s="12" t="str">
        <f>INDEX(C1:C8,H1)</f>
        <v>Connectivité</v>
      </c>
    </row>
    <row r="3" spans="1:8" x14ac:dyDescent="0.25">
      <c r="A3" t="s">
        <v>32</v>
      </c>
      <c r="B3" t="s">
        <v>31</v>
      </c>
      <c r="C3" t="s">
        <v>50</v>
      </c>
    </row>
    <row r="4" spans="1:8" x14ac:dyDescent="0.25">
      <c r="A4" t="s">
        <v>55</v>
      </c>
      <c r="C4" t="s">
        <v>51</v>
      </c>
    </row>
    <row r="5" spans="1:8" x14ac:dyDescent="0.25">
      <c r="C5" t="s">
        <v>52</v>
      </c>
    </row>
    <row r="6" spans="1:8" x14ac:dyDescent="0.25">
      <c r="C6" t="s">
        <v>53</v>
      </c>
    </row>
    <row r="7" spans="1:8" x14ac:dyDescent="0.25">
      <c r="C7" t="s">
        <v>54</v>
      </c>
    </row>
    <row r="8" spans="1:8" x14ac:dyDescent="0.25">
      <c r="C8" s="1" t="s">
        <v>237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0:S261"/>
  <sheetViews>
    <sheetView showGridLines="0" topLeftCell="A4" workbookViewId="0">
      <selection activeCell="E14" sqref="E14"/>
    </sheetView>
  </sheetViews>
  <sheetFormatPr baseColWidth="10" defaultColWidth="11.7109375" defaultRowHeight="15" x14ac:dyDescent="0.25"/>
  <cols>
    <col min="1" max="1" width="16.7109375" style="8" customWidth="1"/>
    <col min="2" max="2" width="24.7109375" style="8" customWidth="1"/>
    <col min="3" max="3" width="12.7109375" style="8" customWidth="1"/>
    <col min="4" max="4" width="15.140625" style="8" bestFit="1" customWidth="1"/>
    <col min="5" max="5" width="9.7109375" style="8" bestFit="1" customWidth="1"/>
    <col min="6" max="6" width="13.7109375" style="8" customWidth="1"/>
    <col min="7" max="7" width="11.7109375" style="8"/>
    <col min="8" max="8" width="16.7109375" style="8" customWidth="1"/>
    <col min="9" max="10" width="11.7109375" style="8"/>
    <col min="11" max="11" width="27.7109375" style="8" customWidth="1"/>
    <col min="12" max="12" width="22.7109375" style="8" customWidth="1"/>
    <col min="13" max="13" width="20.5703125" style="8" bestFit="1" customWidth="1"/>
    <col min="14" max="14" width="16.5703125" style="8" bestFit="1" customWidth="1"/>
    <col min="15" max="15" width="6.85546875" style="8" bestFit="1" customWidth="1"/>
    <col min="16" max="16" width="11.7109375" style="8"/>
    <col min="17" max="17" width="15.140625" style="8" bestFit="1" customWidth="1"/>
    <col min="18" max="18" width="16.5703125" style="8" customWidth="1"/>
    <col min="19" max="19" width="11.7109375" style="8"/>
    <col min="20" max="16384" width="11.7109375" style="19"/>
  </cols>
  <sheetData>
    <row r="10" spans="1:19" s="15" customForma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6" spans="1:19" s="17" customFormat="1" x14ac:dyDescent="0.25">
      <c r="A16" s="16" t="s">
        <v>16</v>
      </c>
      <c r="B16" s="16" t="s">
        <v>0</v>
      </c>
      <c r="C16" s="16" t="s">
        <v>18</v>
      </c>
      <c r="D16" s="16" t="s">
        <v>1</v>
      </c>
      <c r="E16" s="16" t="s">
        <v>2</v>
      </c>
      <c r="F16" s="16" t="s">
        <v>17</v>
      </c>
      <c r="G16" s="16" t="s">
        <v>11</v>
      </c>
      <c r="H16" s="16" t="s">
        <v>3</v>
      </c>
      <c r="I16" s="16" t="s">
        <v>4</v>
      </c>
      <c r="J16" s="16" t="s">
        <v>5</v>
      </c>
      <c r="K16" s="16" t="s">
        <v>14</v>
      </c>
      <c r="L16" s="16" t="s">
        <v>12</v>
      </c>
      <c r="M16" s="16" t="s">
        <v>13</v>
      </c>
      <c r="N16" s="16" t="s">
        <v>6</v>
      </c>
      <c r="O16" s="16" t="s">
        <v>7</v>
      </c>
      <c r="P16" s="16" t="s">
        <v>8</v>
      </c>
      <c r="Q16" s="16" t="s">
        <v>9</v>
      </c>
      <c r="R16" s="16" t="s">
        <v>15</v>
      </c>
      <c r="S16" s="16" t="s">
        <v>10</v>
      </c>
    </row>
    <row r="17" spans="1:19" x14ac:dyDescent="0.25">
      <c r="A17" s="8" t="str">
        <f>IFERROR(INDEX(Source!$A$2:$S$86,Source!$AA2,COLUMNS(Source!$X$2:X2)),"")</f>
        <v>JABRA</v>
      </c>
      <c r="B17" s="8" t="str">
        <f>IFERROR(INDEX(Source!$A$2:$S$86,Source!$AA2,COLUMNS(Source!$X$2:Y2)),"")</f>
        <v>PRO 930 MONO</v>
      </c>
      <c r="C17" s="8" t="str">
        <f>IFERROR(INDEX(Source!$A$2:$S$86,Source!$AA2,COLUMNS(Source!$X$2:Z2)),"")</f>
        <v>Sans Fil</v>
      </c>
      <c r="D17" s="8" t="str">
        <f>IFERROR(INDEX(Source!$A$2:$S$86,Source!$AA2,COLUMNS(Source!$X$2:AA2)),"")</f>
        <v>930-25-509-101</v>
      </c>
      <c r="E17" s="18">
        <f>IFERROR(INDEX(Source!$A$2:$S$86,Source!$AA2,COLUMNS(Source!$X$2:AB2)),"")</f>
        <v>199</v>
      </c>
      <c r="F17" s="8" t="str">
        <f>IFERROR(INDEX(Source!$A$2:$S$86,Source!$AA2,COLUMNS(Source!$X$2:AC2)),"")</f>
        <v>PC</v>
      </c>
      <c r="G17" s="8" t="str">
        <f>IFERROR(INDEX(Source!$A$2:$S$86,Source!$AA2,COLUMNS(Source!$X$2:AD2)),"")</f>
        <v>Mono</v>
      </c>
      <c r="H17" s="8" t="str">
        <f>IFERROR(INDEX(Source!$A$2:$S$86,Source!$AA2,COLUMNS(Source!$X$2:AE2)),"")</f>
        <v>120m</v>
      </c>
      <c r="I17" s="8" t="str">
        <f>IFERROR(INDEX(Source!$A$2:$S$86,Source!$AA2,COLUMNS(Source!$X$2:AF2)),"")</f>
        <v>8h</v>
      </c>
      <c r="J17" s="40" t="str">
        <f>IFERROR(INDEX(Source!$A$2:$S$86,Source!$AA2,COLUMNS(Source!$X$2:AG2)),"")</f>
        <v>36h</v>
      </c>
      <c r="K17" s="40">
        <f>IFERROR(INDEX(Source!$A$2:$S$86,Source!$AA2,COLUMNS(Source!$X$2:AH2)),"")</f>
        <v>0</v>
      </c>
      <c r="L17" s="40" t="str">
        <f>IFERROR(INDEX(Source!$A$2:$S$86,Source!$AA2,COLUMNS(Source!$X$2:AI2)),"")</f>
        <v>4 casques sur même base</v>
      </c>
      <c r="M17" s="40">
        <f>IFERROR(INDEX(Source!$A$2:$S$86,Source!$AA2,COLUMNS(Source!$X$2:AJ2)),"")</f>
        <v>0</v>
      </c>
      <c r="N17" s="40">
        <f>IFERROR(INDEX(Source!$A$2:$S$86,Source!$AA2,COLUMNS(Source!$X$2:AK2)),"")</f>
        <v>0</v>
      </c>
      <c r="O17" s="40">
        <f>IFERROR(INDEX(Source!$A$2:$S$86,Source!$AA2,COLUMNS(Source!$X$2:AL2)),"")</f>
        <v>0</v>
      </c>
      <c r="P17" s="40" t="str">
        <f>IFERROR(INDEX(Source!$A$2:$S$86,Source!$AA2,COLUMNS(Source!$X$2:AM2)),"")</f>
        <v>27g</v>
      </c>
      <c r="Q17" s="40" t="str">
        <f>IFERROR(INDEX(Source!$A$2:$S$86,Source!$AA2,COLUMNS(Source!$X$2:AN2)),"")</f>
        <v>Non</v>
      </c>
      <c r="R17" s="40">
        <f>IFERROR(INDEX(Source!$A$2:$S$86,Source!$AA2,COLUMNS(Source!$X$2:AO2)),"")</f>
        <v>0</v>
      </c>
      <c r="S17" s="40" t="str">
        <f>IFERROR(INDEX(Source!$A$2:$S$86,Source!$AA2,COLUMNS(Source!$X$2:AP2)),"")</f>
        <v>1 an</v>
      </c>
    </row>
    <row r="18" spans="1:19" x14ac:dyDescent="0.25">
      <c r="A18" s="8" t="str">
        <f>IFERROR(INDEX(Source!$A$2:$S$86,Source!$AA3,COLUMNS(Source!$X$2:X3)),"")</f>
        <v>JABRA</v>
      </c>
      <c r="B18" s="8" t="str">
        <f>IFERROR(INDEX(Source!$A$2:$S$86,Source!$AA3,COLUMNS(Source!$X$2:Y3)),"")</f>
        <v>PRO 930 MONO MS</v>
      </c>
      <c r="C18" s="8" t="str">
        <f>IFERROR(INDEX(Source!$A$2:$S$86,Source!$AA3,COLUMNS(Source!$X$2:Z3)),"")</f>
        <v>Sans Fil</v>
      </c>
      <c r="D18" s="8" t="str">
        <f>IFERROR(INDEX(Source!$A$2:$S$86,Source!$AA3,COLUMNS(Source!$X$2:AA3)),"")</f>
        <v>930-25-503-101</v>
      </c>
      <c r="E18" s="18">
        <f>IFERROR(INDEX(Source!$A$2:$S$86,Source!$AA3,COLUMNS(Source!$X$2:AB3)),"")</f>
        <v>199</v>
      </c>
      <c r="F18" s="8" t="str">
        <f>IFERROR(INDEX(Source!$A$2:$S$86,Source!$AA3,COLUMNS(Source!$X$2:AC3)),"")</f>
        <v>PC</v>
      </c>
      <c r="G18" s="8" t="str">
        <f>IFERROR(INDEX(Source!$A$2:$S$86,Source!$AA3,COLUMNS(Source!$X$2:AD3)),"")</f>
        <v>Mono</v>
      </c>
      <c r="H18" s="8" t="str">
        <f>IFERROR(INDEX(Source!$A$2:$S$86,Source!$AA3,COLUMNS(Source!$X$2:AE3)),"")</f>
        <v>120m</v>
      </c>
      <c r="I18" s="8" t="str">
        <f>IFERROR(INDEX(Source!$A$2:$S$86,Source!$AA3,COLUMNS(Source!$X$2:AF3)),"")</f>
        <v>8h</v>
      </c>
      <c r="J18" s="40" t="str">
        <f>IFERROR(INDEX(Source!$A$2:$S$86,Source!$AA3,COLUMNS(Source!$X$2:AG3)),"")</f>
        <v>36h</v>
      </c>
      <c r="K18" s="40">
        <f>IFERROR(INDEX(Source!$A$2:$S$86,Source!$AA3,COLUMNS(Source!$X$2:AH3)),"")</f>
        <v>0</v>
      </c>
      <c r="L18" s="40" t="str">
        <f>IFERROR(INDEX(Source!$A$2:$S$86,Source!$AA3,COLUMNS(Source!$X$2:AI3)),"")</f>
        <v>4 casques sur même base</v>
      </c>
      <c r="M18" s="40">
        <f>IFERROR(INDEX(Source!$A$2:$S$86,Source!$AA3,COLUMNS(Source!$X$2:AJ3)),"")</f>
        <v>0</v>
      </c>
      <c r="N18" s="40">
        <f>IFERROR(INDEX(Source!$A$2:$S$86,Source!$AA3,COLUMNS(Source!$X$2:AK3)),"")</f>
        <v>0</v>
      </c>
      <c r="O18" s="40">
        <f>IFERROR(INDEX(Source!$A$2:$S$86,Source!$AA3,COLUMNS(Source!$X$2:AL3)),"")</f>
        <v>0</v>
      </c>
      <c r="P18" s="40" t="str">
        <f>IFERROR(INDEX(Source!$A$2:$S$86,Source!$AA3,COLUMNS(Source!$X$2:AM3)),"")</f>
        <v>27g</v>
      </c>
      <c r="Q18" s="40" t="str">
        <f>IFERROR(INDEX(Source!$A$2:$S$86,Source!$AA3,COLUMNS(Source!$X$2:AN3)),"")</f>
        <v>Oui</v>
      </c>
      <c r="R18" s="41">
        <f>IFERROR(INDEX(Source!$A$2:$S$86,Source!$AA3,COLUMNS(Source!$X$2:AO3)),"")</f>
        <v>0</v>
      </c>
      <c r="S18" s="40" t="str">
        <f>IFERROR(INDEX(Source!$A$2:$S$86,Source!$AA3,COLUMNS(Source!$X$2:AP3)),"")</f>
        <v>1 an</v>
      </c>
    </row>
    <row r="19" spans="1:19" x14ac:dyDescent="0.25">
      <c r="A19" s="8" t="str">
        <f>IFERROR(INDEX(Source!$A$2:$S$86,Source!$AA4,COLUMNS(Source!$X$2:X4)),"")</f>
        <v>JABRA</v>
      </c>
      <c r="B19" s="8" t="str">
        <f>IFERROR(INDEX(Source!$A$2:$S$86,Source!$AA4,COLUMNS(Source!$X$2:Y4)),"")</f>
        <v>PRO 930 DUO</v>
      </c>
      <c r="C19" s="8" t="str">
        <f>IFERROR(INDEX(Source!$A$2:$S$86,Source!$AA4,COLUMNS(Source!$X$2:Z4)),"")</f>
        <v>Sans Fil</v>
      </c>
      <c r="D19" s="8" t="str">
        <f>IFERROR(INDEX(Source!$A$2:$S$86,Source!$AA4,COLUMNS(Source!$X$2:AA4)),"")</f>
        <v>930-29-509-101</v>
      </c>
      <c r="E19" s="18">
        <f>IFERROR(INDEX(Source!$A$2:$S$86,Source!$AA4,COLUMNS(Source!$X$2:AB4)),"")</f>
        <v>269</v>
      </c>
      <c r="F19" s="8" t="str">
        <f>IFERROR(INDEX(Source!$A$2:$S$86,Source!$AA4,COLUMNS(Source!$X$2:AC4)),"")</f>
        <v>PC</v>
      </c>
      <c r="G19" s="8" t="str">
        <f>IFERROR(INDEX(Source!$A$2:$S$86,Source!$AA4,COLUMNS(Source!$X$2:AD4)),"")</f>
        <v>Bino</v>
      </c>
      <c r="H19" s="8" t="str">
        <f>IFERROR(INDEX(Source!$A$2:$S$86,Source!$AA4,COLUMNS(Source!$X$2:AE4)),"")</f>
        <v>120m</v>
      </c>
      <c r="I19" s="8" t="str">
        <f>IFERROR(INDEX(Source!$A$2:$S$86,Source!$AA4,COLUMNS(Source!$X$2:AF4)),"")</f>
        <v>8h</v>
      </c>
      <c r="J19" s="40" t="str">
        <f>IFERROR(INDEX(Source!$A$2:$S$86,Source!$AA4,COLUMNS(Source!$X$2:AG4)),"")</f>
        <v>36h</v>
      </c>
      <c r="K19" s="40">
        <f>IFERROR(INDEX(Source!$A$2:$S$86,Source!$AA4,COLUMNS(Source!$X$2:AH4)),"")</f>
        <v>0</v>
      </c>
      <c r="L19" s="40" t="str">
        <f>IFERROR(INDEX(Source!$A$2:$S$86,Source!$AA4,COLUMNS(Source!$X$2:AI4)),"")</f>
        <v>4 casques sur même base</v>
      </c>
      <c r="M19" s="40">
        <f>IFERROR(INDEX(Source!$A$2:$S$86,Source!$AA4,COLUMNS(Source!$X$2:AJ4)),"")</f>
        <v>0</v>
      </c>
      <c r="N19" s="40">
        <f>IFERROR(INDEX(Source!$A$2:$S$86,Source!$AA4,COLUMNS(Source!$X$2:AK4)),"")</f>
        <v>0</v>
      </c>
      <c r="O19" s="40">
        <f>IFERROR(INDEX(Source!$A$2:$S$86,Source!$AA4,COLUMNS(Source!$X$2:AL4)),"")</f>
        <v>0</v>
      </c>
      <c r="P19" s="40" t="str">
        <f>IFERROR(INDEX(Source!$A$2:$S$86,Source!$AA4,COLUMNS(Source!$X$2:AM4)),"")</f>
        <v>37g</v>
      </c>
      <c r="Q19" s="40" t="str">
        <f>IFERROR(INDEX(Source!$A$2:$S$86,Source!$AA4,COLUMNS(Source!$X$2:AN4)),"")</f>
        <v>Non</v>
      </c>
      <c r="R19" s="40">
        <f>IFERROR(INDEX(Source!$A$2:$S$86,Source!$AA4,COLUMNS(Source!$X$2:AO4)),"")</f>
        <v>0</v>
      </c>
      <c r="S19" s="40" t="str">
        <f>IFERROR(INDEX(Source!$A$2:$S$86,Source!$AA4,COLUMNS(Source!$X$2:AP4)),"")</f>
        <v>1 an</v>
      </c>
    </row>
    <row r="20" spans="1:19" x14ac:dyDescent="0.25">
      <c r="A20" s="8" t="str">
        <f>IFERROR(INDEX(Source!$A$2:$S$86,Source!$AA5,COLUMNS(Source!$X$2:X5)),"")</f>
        <v>JABRA</v>
      </c>
      <c r="B20" s="8" t="str">
        <f>IFERROR(INDEX(Source!$A$2:$S$86,Source!$AA5,COLUMNS(Source!$X$2:Y5)),"")</f>
        <v>PRO 930 DUO MS</v>
      </c>
      <c r="C20" s="8" t="str">
        <f>IFERROR(INDEX(Source!$A$2:$S$86,Source!$AA5,COLUMNS(Source!$X$2:Z5)),"")</f>
        <v>Sans Fil</v>
      </c>
      <c r="D20" s="8" t="str">
        <f>IFERROR(INDEX(Source!$A$2:$S$86,Source!$AA5,COLUMNS(Source!$X$2:AA5)),"")</f>
        <v>930-29-503-101</v>
      </c>
      <c r="E20" s="18">
        <f>IFERROR(INDEX(Source!$A$2:$S$86,Source!$AA5,COLUMNS(Source!$X$2:AB5)),"")</f>
        <v>269</v>
      </c>
      <c r="F20" s="8" t="str">
        <f>IFERROR(INDEX(Source!$A$2:$S$86,Source!$AA5,COLUMNS(Source!$X$2:AC5)),"")</f>
        <v>PC</v>
      </c>
      <c r="G20" s="8" t="str">
        <f>IFERROR(INDEX(Source!$A$2:$S$86,Source!$AA5,COLUMNS(Source!$X$2:AD5)),"")</f>
        <v>Bino</v>
      </c>
      <c r="H20" s="8" t="str">
        <f>IFERROR(INDEX(Source!$A$2:$S$86,Source!$AA5,COLUMNS(Source!$X$2:AE5)),"")</f>
        <v>120m</v>
      </c>
      <c r="I20" s="8" t="str">
        <f>IFERROR(INDEX(Source!$A$2:$S$86,Source!$AA5,COLUMNS(Source!$X$2:AF5)),"")</f>
        <v>8h</v>
      </c>
      <c r="J20" s="40" t="str">
        <f>IFERROR(INDEX(Source!$A$2:$S$86,Source!$AA5,COLUMNS(Source!$X$2:AG5)),"")</f>
        <v>36h</v>
      </c>
      <c r="K20" s="40">
        <f>IFERROR(INDEX(Source!$A$2:$S$86,Source!$AA5,COLUMNS(Source!$X$2:AH5)),"")</f>
        <v>0</v>
      </c>
      <c r="L20" s="40" t="str">
        <f>IFERROR(INDEX(Source!$A$2:$S$86,Source!$AA5,COLUMNS(Source!$X$2:AI5)),"")</f>
        <v>4 casques sur même base</v>
      </c>
      <c r="M20" s="40">
        <f>IFERROR(INDEX(Source!$A$2:$S$86,Source!$AA5,COLUMNS(Source!$X$2:AJ5)),"")</f>
        <v>0</v>
      </c>
      <c r="N20" s="40">
        <f>IFERROR(INDEX(Source!$A$2:$S$86,Source!$AA5,COLUMNS(Source!$X$2:AK5)),"")</f>
        <v>0</v>
      </c>
      <c r="O20" s="40">
        <f>IFERROR(INDEX(Source!$A$2:$S$86,Source!$AA5,COLUMNS(Source!$X$2:AL5)),"")</f>
        <v>0</v>
      </c>
      <c r="P20" s="40" t="str">
        <f>IFERROR(INDEX(Source!$A$2:$S$86,Source!$AA5,COLUMNS(Source!$X$2:AM5)),"")</f>
        <v>37g</v>
      </c>
      <c r="Q20" s="40" t="str">
        <f>IFERROR(INDEX(Source!$A$2:$S$86,Source!$AA5,COLUMNS(Source!$X$2:AN5)),"")</f>
        <v>Oui</v>
      </c>
      <c r="R20" s="40">
        <f>IFERROR(INDEX(Source!$A$2:$S$86,Source!$AA5,COLUMNS(Source!$X$2:AO5)),"")</f>
        <v>0</v>
      </c>
      <c r="S20" s="40" t="str">
        <f>IFERROR(INDEX(Source!$A$2:$S$86,Source!$AA5,COLUMNS(Source!$X$2:AP5)),"")</f>
        <v>1 an</v>
      </c>
    </row>
    <row r="21" spans="1:19" x14ac:dyDescent="0.25">
      <c r="A21" s="8" t="str">
        <f>IFERROR(INDEX(Source!$A$2:$S$86,Source!$AA6,COLUMNS(Source!$X$2:X6)),"")</f>
        <v>PLANTRONICS</v>
      </c>
      <c r="B21" s="8" t="str">
        <f>IFERROR(INDEX(Source!$A$2:$S$86,Source!$AA6,COLUMNS(Source!$X$2:Y6)),"")</f>
        <v>SAVI 410</v>
      </c>
      <c r="C21" s="8" t="str">
        <f>IFERROR(INDEX(Source!$A$2:$S$86,Source!$AA6,COLUMNS(Source!$X$2:Z6)),"")</f>
        <v>Sans Fil</v>
      </c>
      <c r="D21" s="8" t="str">
        <f>IFERROR(INDEX(Source!$A$2:$S$86,Source!$AA6,COLUMNS(Source!$X$2:AA6)),"")</f>
        <v>84007-04</v>
      </c>
      <c r="E21" s="18">
        <f>IFERROR(INDEX(Source!$A$2:$S$86,Source!$AA6,COLUMNS(Source!$X$2:AB6)),"")</f>
        <v>249</v>
      </c>
      <c r="F21" s="8" t="str">
        <f>IFERROR(INDEX(Source!$A$2:$S$86,Source!$AA6,COLUMNS(Source!$X$2:AC6)),"")</f>
        <v>PC</v>
      </c>
      <c r="G21" s="8" t="str">
        <f>IFERROR(INDEX(Source!$A$2:$S$86,Source!$AA6,COLUMNS(Source!$X$2:AD6)),"")</f>
        <v>Mono</v>
      </c>
      <c r="H21" s="8" t="str">
        <f>IFERROR(INDEX(Source!$A$2:$S$86,Source!$AA6,COLUMNS(Source!$X$2:AE6)),"")</f>
        <v>120m</v>
      </c>
      <c r="I21" s="8" t="str">
        <f>IFERROR(INDEX(Source!$A$2:$S$86,Source!$AA6,COLUMNS(Source!$X$2:AF6)),"")</f>
        <v>9h</v>
      </c>
      <c r="J21" s="40" t="str">
        <f>IFERROR(INDEX(Source!$A$2:$S$86,Source!$AA6,COLUMNS(Source!$X$2:AG6)),"")</f>
        <v>50h</v>
      </c>
      <c r="K21" s="40">
        <f>IFERROR(INDEX(Source!$A$2:$S$86,Source!$AA6,COLUMNS(Source!$X$2:AH6)),"")</f>
        <v>0</v>
      </c>
      <c r="L21" s="40" t="str">
        <f>IFERROR(INDEX(Source!$A$2:$S$86,Source!$AA6,COLUMNS(Source!$X$2:AI6)),"")</f>
        <v>4 casques sur même base</v>
      </c>
      <c r="M21" s="40">
        <f>IFERROR(INDEX(Source!$A$2:$S$86,Source!$AA6,COLUMNS(Source!$X$2:AJ6)),"")</f>
        <v>0</v>
      </c>
      <c r="N21" s="40">
        <f>IFERROR(INDEX(Source!$A$2:$S$86,Source!$AA6,COLUMNS(Source!$X$2:AK6)),"")</f>
        <v>0</v>
      </c>
      <c r="O21" s="40">
        <f>IFERROR(INDEX(Source!$A$2:$S$86,Source!$AA6,COLUMNS(Source!$X$2:AL6)),"")</f>
        <v>0</v>
      </c>
      <c r="P21" s="40" t="str">
        <f>IFERROR(INDEX(Source!$A$2:$S$86,Source!$AA6,COLUMNS(Source!$X$2:AM6)),"")</f>
        <v>72g</v>
      </c>
      <c r="Q21" s="40" t="str">
        <f>IFERROR(INDEX(Source!$A$2:$S$86,Source!$AA6,COLUMNS(Source!$X$2:AN6)),"")</f>
        <v>Non</v>
      </c>
      <c r="R21" s="40">
        <f>IFERROR(INDEX(Source!$A$2:$S$86,Source!$AA6,COLUMNS(Source!$X$2:AO6)),"")</f>
        <v>0</v>
      </c>
      <c r="S21" s="40" t="str">
        <f>IFERROR(INDEX(Source!$A$2:$S$86,Source!$AA6,COLUMNS(Source!$X$2:AP6)),"")</f>
        <v>2 ans</v>
      </c>
    </row>
    <row r="22" spans="1:19" x14ac:dyDescent="0.25">
      <c r="A22" s="8" t="str">
        <f>IFERROR(INDEX(Source!$A$2:$S$86,Source!$AA7,COLUMNS(Source!$X$2:X7)),"")</f>
        <v>PLANTRONICS</v>
      </c>
      <c r="B22" s="8" t="str">
        <f>IFERROR(INDEX(Source!$A$2:$S$86,Source!$AA7,COLUMNS(Source!$X$2:Y7)),"")</f>
        <v>SAVI 410 - M</v>
      </c>
      <c r="C22" s="8" t="str">
        <f>IFERROR(INDEX(Source!$A$2:$S$86,Source!$AA7,COLUMNS(Source!$X$2:Z7)),"")</f>
        <v>Sans Fil</v>
      </c>
      <c r="D22" s="8" t="str">
        <f>IFERROR(INDEX(Source!$A$2:$S$86,Source!$AA7,COLUMNS(Source!$X$2:AA7)),"")</f>
        <v>84007-02</v>
      </c>
      <c r="E22" s="18">
        <f>IFERROR(INDEX(Source!$A$2:$S$86,Source!$AA7,COLUMNS(Source!$X$2:AB7)),"")</f>
        <v>249</v>
      </c>
      <c r="F22" s="8" t="str">
        <f>IFERROR(INDEX(Source!$A$2:$S$86,Source!$AA7,COLUMNS(Source!$X$2:AC7)),"")</f>
        <v>PC</v>
      </c>
      <c r="G22" s="8" t="str">
        <f>IFERROR(INDEX(Source!$A$2:$S$86,Source!$AA7,COLUMNS(Source!$X$2:AD7)),"")</f>
        <v>Mono</v>
      </c>
      <c r="H22" s="8" t="str">
        <f>IFERROR(INDEX(Source!$A$2:$S$86,Source!$AA7,COLUMNS(Source!$X$2:AE7)),"")</f>
        <v>120m</v>
      </c>
      <c r="I22" s="8" t="str">
        <f>IFERROR(INDEX(Source!$A$2:$S$86,Source!$AA7,COLUMNS(Source!$X$2:AF7)),"")</f>
        <v>9h</v>
      </c>
      <c r="J22" s="40" t="str">
        <f>IFERROR(INDEX(Source!$A$2:$S$86,Source!$AA7,COLUMNS(Source!$X$2:AG7)),"")</f>
        <v>50h</v>
      </c>
      <c r="K22" s="40">
        <f>IFERROR(INDEX(Source!$A$2:$S$86,Source!$AA7,COLUMNS(Source!$X$2:AH7)),"")</f>
        <v>0</v>
      </c>
      <c r="L22" s="40" t="str">
        <f>IFERROR(INDEX(Source!$A$2:$S$86,Source!$AA7,COLUMNS(Source!$X$2:AI7)),"")</f>
        <v>4 casques sur même base</v>
      </c>
      <c r="M22" s="40">
        <f>IFERROR(INDEX(Source!$A$2:$S$86,Source!$AA7,COLUMNS(Source!$X$2:AJ7)),"")</f>
        <v>0</v>
      </c>
      <c r="N22" s="40">
        <f>IFERROR(INDEX(Source!$A$2:$S$86,Source!$AA7,COLUMNS(Source!$X$2:AK7)),"")</f>
        <v>0</v>
      </c>
      <c r="O22" s="40">
        <f>IFERROR(INDEX(Source!$A$2:$S$86,Source!$AA7,COLUMNS(Source!$X$2:AL7)),"")</f>
        <v>0</v>
      </c>
      <c r="P22" s="40" t="str">
        <f>IFERROR(INDEX(Source!$A$2:$S$86,Source!$AA7,COLUMNS(Source!$X$2:AM7)),"")</f>
        <v>72g</v>
      </c>
      <c r="Q22" s="40" t="str">
        <f>IFERROR(INDEX(Source!$A$2:$S$86,Source!$AA7,COLUMNS(Source!$X$2:AN7)),"")</f>
        <v>Oui</v>
      </c>
      <c r="R22" s="40">
        <f>IFERROR(INDEX(Source!$A$2:$S$86,Source!$AA7,COLUMNS(Source!$X$2:AO7)),"")</f>
        <v>0</v>
      </c>
      <c r="S22" s="40" t="str">
        <f>IFERROR(INDEX(Source!$A$2:$S$86,Source!$AA7,COLUMNS(Source!$X$2:AP7)),"")</f>
        <v>2 ans</v>
      </c>
    </row>
    <row r="23" spans="1:19" x14ac:dyDescent="0.25">
      <c r="A23" s="8" t="str">
        <f>IFERROR(INDEX(Source!$A$2:$S$86,Source!$AA8,COLUMNS(Source!$X$2:X8)),"")</f>
        <v>PLANTRONICS</v>
      </c>
      <c r="B23" s="8" t="str">
        <f>IFERROR(INDEX(Source!$A$2:$S$86,Source!$AA8,COLUMNS(Source!$X$2:Y8)),"")</f>
        <v>SAVI 420</v>
      </c>
      <c r="C23" s="8" t="str">
        <f>IFERROR(INDEX(Source!$A$2:$S$86,Source!$AA8,COLUMNS(Source!$X$2:Z8)),"")</f>
        <v>Sans Fil</v>
      </c>
      <c r="D23" s="8" t="str">
        <f>IFERROR(INDEX(Source!$A$2:$S$86,Source!$AA8,COLUMNS(Source!$X$2:AA8)),"")</f>
        <v>84008-04</v>
      </c>
      <c r="E23" s="18">
        <f>IFERROR(INDEX(Source!$A$2:$S$86,Source!$AA8,COLUMNS(Source!$X$2:AB8)),"")</f>
        <v>279</v>
      </c>
      <c r="F23" s="8" t="str">
        <f>IFERROR(INDEX(Source!$A$2:$S$86,Source!$AA8,COLUMNS(Source!$X$2:AC8)),"")</f>
        <v>PC</v>
      </c>
      <c r="G23" s="8" t="str">
        <f>IFERROR(INDEX(Source!$A$2:$S$86,Source!$AA8,COLUMNS(Source!$X$2:AD8)),"")</f>
        <v>Bino</v>
      </c>
      <c r="H23" s="8" t="str">
        <f>IFERROR(INDEX(Source!$A$2:$S$86,Source!$AA8,COLUMNS(Source!$X$2:AE8)),"")</f>
        <v>120m</v>
      </c>
      <c r="I23" s="8" t="str">
        <f>IFERROR(INDEX(Source!$A$2:$S$86,Source!$AA8,COLUMNS(Source!$X$2:AF8)),"")</f>
        <v>9h</v>
      </c>
      <c r="J23" s="40" t="str">
        <f>IFERROR(INDEX(Source!$A$2:$S$86,Source!$AA8,COLUMNS(Source!$X$2:AG8)),"")</f>
        <v>50h</v>
      </c>
      <c r="K23" s="40">
        <f>IFERROR(INDEX(Source!$A$2:$S$86,Source!$AA8,COLUMNS(Source!$X$2:AH8)),"")</f>
        <v>0</v>
      </c>
      <c r="L23" s="40" t="str">
        <f>IFERROR(INDEX(Source!$A$2:$S$86,Source!$AA8,COLUMNS(Source!$X$2:AI8)),"")</f>
        <v>4 casques sur même base</v>
      </c>
      <c r="M23" s="40">
        <f>IFERROR(INDEX(Source!$A$2:$S$86,Source!$AA8,COLUMNS(Source!$X$2:AJ8)),"")</f>
        <v>0</v>
      </c>
      <c r="N23" s="40">
        <f>IFERROR(INDEX(Source!$A$2:$S$86,Source!$AA8,COLUMNS(Source!$X$2:AK8)),"")</f>
        <v>0</v>
      </c>
      <c r="O23" s="40">
        <f>IFERROR(INDEX(Source!$A$2:$S$86,Source!$AA8,COLUMNS(Source!$X$2:AL8)),"")</f>
        <v>0</v>
      </c>
      <c r="P23" s="40" t="str">
        <f>IFERROR(INDEX(Source!$A$2:$S$86,Source!$AA8,COLUMNS(Source!$X$2:AM8)),"")</f>
        <v>94g</v>
      </c>
      <c r="Q23" s="40" t="str">
        <f>IFERROR(INDEX(Source!$A$2:$S$86,Source!$AA8,COLUMNS(Source!$X$2:AN8)),"")</f>
        <v>Non</v>
      </c>
      <c r="R23" s="40">
        <f>IFERROR(INDEX(Source!$A$2:$S$86,Source!$AA8,COLUMNS(Source!$X$2:AO8)),"")</f>
        <v>0</v>
      </c>
      <c r="S23" s="40" t="str">
        <f>IFERROR(INDEX(Source!$A$2:$S$86,Source!$AA8,COLUMNS(Source!$X$2:AP8)),"")</f>
        <v>2 ans</v>
      </c>
    </row>
    <row r="24" spans="1:19" x14ac:dyDescent="0.25">
      <c r="A24" s="8" t="str">
        <f>IFERROR(INDEX(Source!$A$2:$S$86,Source!$AA9,COLUMNS(Source!$X$2:X9)),"")</f>
        <v>PLANTRONICS</v>
      </c>
      <c r="B24" s="8" t="str">
        <f>IFERROR(INDEX(Source!$A$2:$S$86,Source!$AA9,COLUMNS(Source!$X$2:Y9)),"")</f>
        <v>SAVI 420 - M</v>
      </c>
      <c r="C24" s="8" t="str">
        <f>IFERROR(INDEX(Source!$A$2:$S$86,Source!$AA9,COLUMNS(Source!$X$2:Z9)),"")</f>
        <v>Sans Fil</v>
      </c>
      <c r="D24" s="8" t="str">
        <f>IFERROR(INDEX(Source!$A$2:$S$86,Source!$AA9,COLUMNS(Source!$X$2:AA9)),"")</f>
        <v>84008-02</v>
      </c>
      <c r="E24" s="18">
        <f>IFERROR(INDEX(Source!$A$2:$S$86,Source!$AA9,COLUMNS(Source!$X$2:AB9)),"")</f>
        <v>279</v>
      </c>
      <c r="F24" s="8" t="str">
        <f>IFERROR(INDEX(Source!$A$2:$S$86,Source!$AA9,COLUMNS(Source!$X$2:AC9)),"")</f>
        <v>PC</v>
      </c>
      <c r="G24" s="8" t="str">
        <f>IFERROR(INDEX(Source!$A$2:$S$86,Source!$AA9,COLUMNS(Source!$X$2:AD9)),"")</f>
        <v>Bino</v>
      </c>
      <c r="H24" s="8" t="str">
        <f>IFERROR(INDEX(Source!$A$2:$S$86,Source!$AA9,COLUMNS(Source!$X$2:AE9)),"")</f>
        <v>120m</v>
      </c>
      <c r="I24" s="8" t="str">
        <f>IFERROR(INDEX(Source!$A$2:$S$86,Source!$AA9,COLUMNS(Source!$X$2:AF9)),"")</f>
        <v>9h</v>
      </c>
      <c r="J24" s="40" t="str">
        <f>IFERROR(INDEX(Source!$A$2:$S$86,Source!$AA9,COLUMNS(Source!$X$2:AG9)),"")</f>
        <v>50h</v>
      </c>
      <c r="K24" s="40">
        <f>IFERROR(INDEX(Source!$A$2:$S$86,Source!$AA9,COLUMNS(Source!$X$2:AH9)),"")</f>
        <v>0</v>
      </c>
      <c r="L24" s="40" t="str">
        <f>IFERROR(INDEX(Source!$A$2:$S$86,Source!$AA9,COLUMNS(Source!$X$2:AI9)),"")</f>
        <v>4 casques sur même base</v>
      </c>
      <c r="M24" s="40">
        <f>IFERROR(INDEX(Source!$A$2:$S$86,Source!$AA9,COLUMNS(Source!$X$2:AJ9)),"")</f>
        <v>0</v>
      </c>
      <c r="N24" s="40">
        <f>IFERROR(INDEX(Source!$A$2:$S$86,Source!$AA9,COLUMNS(Source!$X$2:AK9)),"")</f>
        <v>0</v>
      </c>
      <c r="O24" s="40">
        <f>IFERROR(INDEX(Source!$A$2:$S$86,Source!$AA9,COLUMNS(Source!$X$2:AL9)),"")</f>
        <v>0</v>
      </c>
      <c r="P24" s="40" t="str">
        <f>IFERROR(INDEX(Source!$A$2:$S$86,Source!$AA9,COLUMNS(Source!$X$2:AM9)),"")</f>
        <v>94g</v>
      </c>
      <c r="Q24" s="40" t="str">
        <f>IFERROR(INDEX(Source!$A$2:$S$86,Source!$AA9,COLUMNS(Source!$X$2:AN9)),"")</f>
        <v>Oui</v>
      </c>
      <c r="R24" s="40">
        <f>IFERROR(INDEX(Source!$A$2:$S$86,Source!$AA9,COLUMNS(Source!$X$2:AO9)),"")</f>
        <v>0</v>
      </c>
      <c r="S24" s="40" t="str">
        <f>IFERROR(INDEX(Source!$A$2:$S$86,Source!$AA9,COLUMNS(Source!$X$2:AP9)),"")</f>
        <v>2 ans</v>
      </c>
    </row>
    <row r="25" spans="1:19" x14ac:dyDescent="0.25">
      <c r="A25" s="8" t="str">
        <f>IFERROR(INDEX(Source!$A$2:$S$86,Source!$AA10,COLUMNS(Source!$X$2:X10)),"")</f>
        <v>PLANTRONICS</v>
      </c>
      <c r="B25" s="8" t="str">
        <f>IFERROR(INDEX(Source!$A$2:$S$86,Source!$AA10,COLUMNS(Source!$X$2:Y10)),"")</f>
        <v>SAVI 430</v>
      </c>
      <c r="C25" s="8" t="str">
        <f>IFERROR(INDEX(Source!$A$2:$S$86,Source!$AA10,COLUMNS(Source!$X$2:Z10)),"")</f>
        <v>Sans Fil</v>
      </c>
      <c r="D25" s="8" t="str">
        <f>IFERROR(INDEX(Source!$A$2:$S$86,Source!$AA10,COLUMNS(Source!$X$2:AA10)),"")</f>
        <v>82396-12</v>
      </c>
      <c r="E25" s="18">
        <f>IFERROR(INDEX(Source!$A$2:$S$86,Source!$AA10,COLUMNS(Source!$X$2:AB10)),"")</f>
        <v>249</v>
      </c>
      <c r="F25" s="8" t="str">
        <f>IFERROR(INDEX(Source!$A$2:$S$86,Source!$AA10,COLUMNS(Source!$X$2:AC10)),"")</f>
        <v>PC</v>
      </c>
      <c r="G25" s="8" t="str">
        <f>IFERROR(INDEX(Source!$A$2:$S$86,Source!$AA10,COLUMNS(Source!$X$2:AD10)),"")</f>
        <v>Mono</v>
      </c>
      <c r="H25" s="8" t="str">
        <f>IFERROR(INDEX(Source!$A$2:$S$86,Source!$AA10,COLUMNS(Source!$X$2:AE10)),"")</f>
        <v>120m</v>
      </c>
      <c r="I25" s="8" t="str">
        <f>IFERROR(INDEX(Source!$A$2:$S$86,Source!$AA10,COLUMNS(Source!$X$2:AF10)),"")</f>
        <v>6h</v>
      </c>
      <c r="J25" s="40" t="str">
        <f>IFERROR(INDEX(Source!$A$2:$S$86,Source!$AA10,COLUMNS(Source!$X$2:AG10)),"")</f>
        <v>40h</v>
      </c>
      <c r="K25" s="40">
        <f>IFERROR(INDEX(Source!$A$2:$S$86,Source!$AA10,COLUMNS(Source!$X$2:AH10)),"")</f>
        <v>0</v>
      </c>
      <c r="L25" s="40" t="str">
        <f>IFERROR(INDEX(Source!$A$2:$S$86,Source!$AA10,COLUMNS(Source!$X$2:AI10)),"")</f>
        <v>4 casques sur même base</v>
      </c>
      <c r="M25" s="40">
        <f>IFERROR(INDEX(Source!$A$2:$S$86,Source!$AA10,COLUMNS(Source!$X$2:AJ10)),"")</f>
        <v>0</v>
      </c>
      <c r="N25" s="40">
        <f>IFERROR(INDEX(Source!$A$2:$S$86,Source!$AA10,COLUMNS(Source!$X$2:AK10)),"")</f>
        <v>0</v>
      </c>
      <c r="O25" s="40">
        <f>IFERROR(INDEX(Source!$A$2:$S$86,Source!$AA10,COLUMNS(Source!$X$2:AL10)),"")</f>
        <v>0</v>
      </c>
      <c r="P25" s="40" t="str">
        <f>IFERROR(INDEX(Source!$A$2:$S$86,Source!$AA10,COLUMNS(Source!$X$2:AM10)),"")</f>
        <v>25g</v>
      </c>
      <c r="Q25" s="40" t="str">
        <f>IFERROR(INDEX(Source!$A$2:$S$86,Source!$AA10,COLUMNS(Source!$X$2:AN10)),"")</f>
        <v>Non</v>
      </c>
      <c r="R25" s="40">
        <f>IFERROR(INDEX(Source!$A$2:$S$86,Source!$AA10,COLUMNS(Source!$X$2:AO10)),"")</f>
        <v>0</v>
      </c>
      <c r="S25" s="40" t="str">
        <f>IFERROR(INDEX(Source!$A$2:$S$86,Source!$AA10,COLUMNS(Source!$X$2:AP10)),"")</f>
        <v>2 ans</v>
      </c>
    </row>
    <row r="26" spans="1:19" x14ac:dyDescent="0.25">
      <c r="A26" s="8" t="str">
        <f>IFERROR(INDEX(Source!$A$2:$S$86,Source!$AA11,COLUMNS(Source!$X$2:X11)),"")</f>
        <v>PLANTRONICS</v>
      </c>
      <c r="B26" s="8" t="str">
        <f>IFERROR(INDEX(Source!$A$2:$S$86,Source!$AA11,COLUMNS(Source!$X$2:Y11)),"")</f>
        <v>SAVI 430 - M</v>
      </c>
      <c r="C26" s="8" t="str">
        <f>IFERROR(INDEX(Source!$A$2:$S$86,Source!$AA11,COLUMNS(Source!$X$2:Z11)),"")</f>
        <v>Sans Fil</v>
      </c>
      <c r="D26" s="8" t="str">
        <f>IFERROR(INDEX(Source!$A$2:$S$86,Source!$AA11,COLUMNS(Source!$X$2:AA11)),"")</f>
        <v>82397-12</v>
      </c>
      <c r="E26" s="18">
        <f>IFERROR(INDEX(Source!$A$2:$S$86,Source!$AA11,COLUMNS(Source!$X$2:AB11)),"")</f>
        <v>249</v>
      </c>
      <c r="F26" s="8" t="str">
        <f>IFERROR(INDEX(Source!$A$2:$S$86,Source!$AA11,COLUMNS(Source!$X$2:AC11)),"")</f>
        <v>PC</v>
      </c>
      <c r="G26" s="8" t="str">
        <f>IFERROR(INDEX(Source!$A$2:$S$86,Source!$AA11,COLUMNS(Source!$X$2:AD11)),"")</f>
        <v>Mono</v>
      </c>
      <c r="H26" s="8" t="str">
        <f>IFERROR(INDEX(Source!$A$2:$S$86,Source!$AA11,COLUMNS(Source!$X$2:AE11)),"")</f>
        <v>120m</v>
      </c>
      <c r="I26" s="8" t="str">
        <f>IFERROR(INDEX(Source!$A$2:$S$86,Source!$AA11,COLUMNS(Source!$X$2:AF11)),"")</f>
        <v>6h</v>
      </c>
      <c r="J26" s="40" t="str">
        <f>IFERROR(INDEX(Source!$A$2:$S$86,Source!$AA11,COLUMNS(Source!$X$2:AG11)),"")</f>
        <v>40h</v>
      </c>
      <c r="K26" s="40">
        <f>IFERROR(INDEX(Source!$A$2:$S$86,Source!$AA11,COLUMNS(Source!$X$2:AH11)),"")</f>
        <v>0</v>
      </c>
      <c r="L26" s="40" t="str">
        <f>IFERROR(INDEX(Source!$A$2:$S$86,Source!$AA11,COLUMNS(Source!$X$2:AI11)),"")</f>
        <v>4 casques sur même base</v>
      </c>
      <c r="M26" s="40">
        <f>IFERROR(INDEX(Source!$A$2:$S$86,Source!$AA11,COLUMNS(Source!$X$2:AJ11)),"")</f>
        <v>0</v>
      </c>
      <c r="N26" s="40">
        <f>IFERROR(INDEX(Source!$A$2:$S$86,Source!$AA11,COLUMNS(Source!$X$2:AK11)),"")</f>
        <v>0</v>
      </c>
      <c r="O26" s="40">
        <f>IFERROR(INDEX(Source!$A$2:$S$86,Source!$AA11,COLUMNS(Source!$X$2:AL11)),"")</f>
        <v>0</v>
      </c>
      <c r="P26" s="40" t="str">
        <f>IFERROR(INDEX(Source!$A$2:$S$86,Source!$AA11,COLUMNS(Source!$X$2:AM11)),"")</f>
        <v>25g</v>
      </c>
      <c r="Q26" s="40" t="str">
        <f>IFERROR(INDEX(Source!$A$2:$S$86,Source!$AA11,COLUMNS(Source!$X$2:AN11)),"")</f>
        <v>Oui</v>
      </c>
      <c r="R26" s="40">
        <f>IFERROR(INDEX(Source!$A$2:$S$86,Source!$AA11,COLUMNS(Source!$X$2:AO11)),"")</f>
        <v>0</v>
      </c>
      <c r="S26" s="40" t="str">
        <f>IFERROR(INDEX(Source!$A$2:$S$86,Source!$AA11,COLUMNS(Source!$X$2:AP11)),"")</f>
        <v>2 ans</v>
      </c>
    </row>
    <row r="27" spans="1:19" x14ac:dyDescent="0.25">
      <c r="A27" s="8" t="str">
        <f>IFERROR(INDEX(Source!$A$2:$S$86,Source!$AA12,COLUMNS(Source!$X$2:X12)),"")</f>
        <v>PLANTRONICS</v>
      </c>
      <c r="B27" s="8" t="str">
        <f>IFERROR(INDEX(Source!$A$2:$S$86,Source!$AA12,COLUMNS(Source!$X$2:Y12)),"")</f>
        <v>SAVI 440</v>
      </c>
      <c r="C27" s="8" t="str">
        <f>IFERROR(INDEX(Source!$A$2:$S$86,Source!$AA12,COLUMNS(Source!$X$2:Z12)),"")</f>
        <v>Sans Fil</v>
      </c>
      <c r="D27" s="8" t="str">
        <f>IFERROR(INDEX(Source!$A$2:$S$86,Source!$AA12,COLUMNS(Source!$X$2:AA12)),"")</f>
        <v>203946-02</v>
      </c>
      <c r="E27" s="18">
        <f>IFERROR(INDEX(Source!$A$2:$S$86,Source!$AA12,COLUMNS(Source!$X$2:AB12)),"")</f>
        <v>249</v>
      </c>
      <c r="F27" s="8" t="str">
        <f>IFERROR(INDEX(Source!$A$2:$S$86,Source!$AA12,COLUMNS(Source!$X$2:AC12)),"")</f>
        <v>PC</v>
      </c>
      <c r="G27" s="8" t="str">
        <f>IFERROR(INDEX(Source!$A$2:$S$86,Source!$AA12,COLUMNS(Source!$X$2:AD12)),"")</f>
        <v>Mono</v>
      </c>
      <c r="H27" s="8" t="str">
        <f>IFERROR(INDEX(Source!$A$2:$S$86,Source!$AA12,COLUMNS(Source!$X$2:AE12)),"")</f>
        <v>120m</v>
      </c>
      <c r="I27" s="8" t="str">
        <f>IFERROR(INDEX(Source!$A$2:$S$86,Source!$AA12,COLUMNS(Source!$X$2:AF12)),"")</f>
        <v>7h</v>
      </c>
      <c r="J27" s="40" t="str">
        <f>IFERROR(INDEX(Source!$A$2:$S$86,Source!$AA12,COLUMNS(Source!$X$2:AG12)),"")</f>
        <v>40h</v>
      </c>
      <c r="K27" s="40">
        <f>IFERROR(INDEX(Source!$A$2:$S$86,Source!$AA12,COLUMNS(Source!$X$2:AH12)),"")</f>
        <v>0</v>
      </c>
      <c r="L27" s="40" t="str">
        <f>IFERROR(INDEX(Source!$A$2:$S$86,Source!$AA12,COLUMNS(Source!$X$2:AI12)),"")</f>
        <v>4 casques sur même base</v>
      </c>
      <c r="M27" s="40">
        <f>IFERROR(INDEX(Source!$A$2:$S$86,Source!$AA12,COLUMNS(Source!$X$2:AJ12)),"")</f>
        <v>0</v>
      </c>
      <c r="N27" s="40">
        <f>IFERROR(INDEX(Source!$A$2:$S$86,Source!$AA12,COLUMNS(Source!$X$2:AK12)),"")</f>
        <v>0</v>
      </c>
      <c r="O27" s="40">
        <f>IFERROR(INDEX(Source!$A$2:$S$86,Source!$AA12,COLUMNS(Source!$X$2:AL12)),"")</f>
        <v>0</v>
      </c>
      <c r="P27" s="40" t="str">
        <f>IFERROR(INDEX(Source!$A$2:$S$86,Source!$AA12,COLUMNS(Source!$X$2:AM12)),"")</f>
        <v>21g</v>
      </c>
      <c r="Q27" s="40" t="str">
        <f>IFERROR(INDEX(Source!$A$2:$S$86,Source!$AA12,COLUMNS(Source!$X$2:AN12)),"")</f>
        <v>Non</v>
      </c>
      <c r="R27" s="40">
        <f>IFERROR(INDEX(Source!$A$2:$S$86,Source!$AA12,COLUMNS(Source!$X$2:AO12)),"")</f>
        <v>0</v>
      </c>
      <c r="S27" s="40" t="str">
        <f>IFERROR(INDEX(Source!$A$2:$S$86,Source!$AA12,COLUMNS(Source!$X$2:AP12)),"")</f>
        <v>2 ans</v>
      </c>
    </row>
    <row r="28" spans="1:19" x14ac:dyDescent="0.25">
      <c r="A28" s="8" t="str">
        <f>IFERROR(INDEX(Source!$A$2:$S$86,Source!$AA13,COLUMNS(Source!$X$2:X13)),"")</f>
        <v>PLANTRONICS</v>
      </c>
      <c r="B28" s="8" t="str">
        <f>IFERROR(INDEX(Source!$A$2:$S$86,Source!$AA13,COLUMNS(Source!$X$2:Y13)),"")</f>
        <v>SAVI 440 - M</v>
      </c>
      <c r="C28" s="8" t="str">
        <f>IFERROR(INDEX(Source!$A$2:$S$86,Source!$AA13,COLUMNS(Source!$X$2:Z13)),"")</f>
        <v>Sans Fil</v>
      </c>
      <c r="D28" s="8" t="str">
        <f>IFERROR(INDEX(Source!$A$2:$S$86,Source!$AA13,COLUMNS(Source!$X$2:AA13)),"")</f>
        <v>203947-02</v>
      </c>
      <c r="E28" s="18">
        <f>IFERROR(INDEX(Source!$A$2:$S$86,Source!$AA13,COLUMNS(Source!$X$2:AB13)),"")</f>
        <v>249</v>
      </c>
      <c r="F28" s="8" t="str">
        <f>IFERROR(INDEX(Source!$A$2:$S$86,Source!$AA13,COLUMNS(Source!$X$2:AC13)),"")</f>
        <v>PC</v>
      </c>
      <c r="G28" s="8" t="str">
        <f>IFERROR(INDEX(Source!$A$2:$S$86,Source!$AA13,COLUMNS(Source!$X$2:AD13)),"")</f>
        <v>Mono</v>
      </c>
      <c r="H28" s="8" t="str">
        <f>IFERROR(INDEX(Source!$A$2:$S$86,Source!$AA13,COLUMNS(Source!$X$2:AE13)),"")</f>
        <v>120m</v>
      </c>
      <c r="I28" s="8" t="str">
        <f>IFERROR(INDEX(Source!$A$2:$S$86,Source!$AA13,COLUMNS(Source!$X$2:AF13)),"")</f>
        <v>7h</v>
      </c>
      <c r="J28" s="40" t="str">
        <f>IFERROR(INDEX(Source!$A$2:$S$86,Source!$AA13,COLUMNS(Source!$X$2:AG13)),"")</f>
        <v>40h</v>
      </c>
      <c r="K28" s="40">
        <f>IFERROR(INDEX(Source!$A$2:$S$86,Source!$AA13,COLUMNS(Source!$X$2:AH13)),"")</f>
        <v>0</v>
      </c>
      <c r="L28" s="40" t="str">
        <f>IFERROR(INDEX(Source!$A$2:$S$86,Source!$AA13,COLUMNS(Source!$X$2:AI13)),"")</f>
        <v>4 casques sur même base</v>
      </c>
      <c r="M28" s="40">
        <f>IFERROR(INDEX(Source!$A$2:$S$86,Source!$AA13,COLUMNS(Source!$X$2:AJ13)),"")</f>
        <v>0</v>
      </c>
      <c r="N28" s="40">
        <f>IFERROR(INDEX(Source!$A$2:$S$86,Source!$AA13,COLUMNS(Source!$X$2:AK13)),"")</f>
        <v>0</v>
      </c>
      <c r="O28" s="40">
        <f>IFERROR(INDEX(Source!$A$2:$S$86,Source!$AA13,COLUMNS(Source!$X$2:AL13)),"")</f>
        <v>0</v>
      </c>
      <c r="P28" s="40" t="str">
        <f>IFERROR(INDEX(Source!$A$2:$S$86,Source!$AA13,COLUMNS(Source!$X$2:AM13)),"")</f>
        <v>21g</v>
      </c>
      <c r="Q28" s="40" t="str">
        <f>IFERROR(INDEX(Source!$A$2:$S$86,Source!$AA13,COLUMNS(Source!$X$2:AN13)),"")</f>
        <v>Oui</v>
      </c>
      <c r="R28" s="40">
        <f>IFERROR(INDEX(Source!$A$2:$S$86,Source!$AA13,COLUMNS(Source!$X$2:AO13)),"")</f>
        <v>0</v>
      </c>
      <c r="S28" s="40" t="str">
        <f>IFERROR(INDEX(Source!$A$2:$S$86,Source!$AA13,COLUMNS(Source!$X$2:AP13)),"")</f>
        <v>2 ans</v>
      </c>
    </row>
    <row r="29" spans="1:19" x14ac:dyDescent="0.25">
      <c r="A29" s="8" t="str">
        <f>IFERROR(INDEX(Source!$A$2:$S$86,Source!$AA14,COLUMNS(Source!$X$2:X14)),"")</f>
        <v>SENNHEISER</v>
      </c>
      <c r="B29" s="8" t="str">
        <f>IFERROR(INDEX(Source!$A$2:$S$86,Source!$AA14,COLUMNS(Source!$X$2:Y14)),"")</f>
        <v>D10 USB</v>
      </c>
      <c r="C29" s="8" t="str">
        <f>IFERROR(INDEX(Source!$A$2:$S$86,Source!$AA14,COLUMNS(Source!$X$2:Z14)),"")</f>
        <v>Sans Fil</v>
      </c>
      <c r="D29" s="8">
        <f>IFERROR(INDEX(Source!$A$2:$S$86,Source!$AA14,COLUMNS(Source!$X$2:AA14)),"")</f>
        <v>506412</v>
      </c>
      <c r="E29" s="18">
        <f>IFERROR(INDEX(Source!$A$2:$S$86,Source!$AA14,COLUMNS(Source!$X$2:AB14)),"")</f>
        <v>239</v>
      </c>
      <c r="F29" s="8" t="str">
        <f>IFERROR(INDEX(Source!$A$2:$S$86,Source!$AA14,COLUMNS(Source!$X$2:AC14)),"")</f>
        <v>PC</v>
      </c>
      <c r="G29" s="8" t="str">
        <f>IFERROR(INDEX(Source!$A$2:$S$86,Source!$AA14,COLUMNS(Source!$X$2:AD14)),"")</f>
        <v>Mono</v>
      </c>
      <c r="H29" s="8" t="str">
        <f>IFERROR(INDEX(Source!$A$2:$S$86,Source!$AA14,COLUMNS(Source!$X$2:AE14)),"")</f>
        <v>120m</v>
      </c>
      <c r="I29" s="8" t="str">
        <f>IFERROR(INDEX(Source!$A$2:$S$86,Source!$AA14,COLUMNS(Source!$X$2:AF14)),"")</f>
        <v>11h</v>
      </c>
      <c r="J29" s="40" t="str">
        <f>IFERROR(INDEX(Source!$A$2:$S$86,Source!$AA14,COLUMNS(Source!$X$2:AG14)),"")</f>
        <v>100h</v>
      </c>
      <c r="K29" s="40">
        <f>IFERROR(INDEX(Source!$A$2:$S$86,Source!$AA14,COLUMNS(Source!$X$2:AH14)),"")</f>
        <v>0</v>
      </c>
      <c r="L29" s="40" t="str">
        <f>IFERROR(INDEX(Source!$A$2:$S$86,Source!$AA14,COLUMNS(Source!$X$2:AI14)),"")</f>
        <v>4 casques sur même base</v>
      </c>
      <c r="M29" s="40">
        <f>IFERROR(INDEX(Source!$A$2:$S$86,Source!$AA14,COLUMNS(Source!$X$2:AJ14)),"")</f>
        <v>0</v>
      </c>
      <c r="N29" s="40">
        <f>IFERROR(INDEX(Source!$A$2:$S$86,Source!$AA14,COLUMNS(Source!$X$2:AK14)),"")</f>
        <v>0</v>
      </c>
      <c r="O29" s="40">
        <f>IFERROR(INDEX(Source!$A$2:$S$86,Source!$AA14,COLUMNS(Source!$X$2:AL14)),"")</f>
        <v>0</v>
      </c>
      <c r="P29" s="40" t="str">
        <f>IFERROR(INDEX(Source!$A$2:$S$86,Source!$AA14,COLUMNS(Source!$X$2:AM14)),"")</f>
        <v>22g</v>
      </c>
      <c r="Q29" s="40" t="str">
        <f>IFERROR(INDEX(Source!$A$2:$S$86,Source!$AA14,COLUMNS(Source!$X$2:AN14)),"")</f>
        <v>Non</v>
      </c>
      <c r="R29" s="40">
        <f>IFERROR(INDEX(Source!$A$2:$S$86,Source!$AA14,COLUMNS(Source!$X$2:AO14)),"")</f>
        <v>0</v>
      </c>
      <c r="S29" s="40" t="str">
        <f>IFERROR(INDEX(Source!$A$2:$S$86,Source!$AA14,COLUMNS(Source!$X$2:AP14)),"")</f>
        <v>2 ans</v>
      </c>
    </row>
    <row r="30" spans="1:19" x14ac:dyDescent="0.25">
      <c r="A30" s="8" t="str">
        <f>IFERROR(INDEX(Source!$A$2:$S$86,Source!$AA15,COLUMNS(Source!$X$2:X15)),"")</f>
        <v>SENNHEISER</v>
      </c>
      <c r="B30" s="8" t="str">
        <f>IFERROR(INDEX(Source!$A$2:$S$86,Source!$AA15,COLUMNS(Source!$X$2:Y15)),"")</f>
        <v>D10 USB ML</v>
      </c>
      <c r="C30" s="8" t="str">
        <f>IFERROR(INDEX(Source!$A$2:$S$86,Source!$AA15,COLUMNS(Source!$X$2:Z15)),"")</f>
        <v>Sans Fil</v>
      </c>
      <c r="D30" s="8">
        <f>IFERROR(INDEX(Source!$A$2:$S$86,Source!$AA15,COLUMNS(Source!$X$2:AA15)),"")</f>
        <v>506416</v>
      </c>
      <c r="E30" s="18">
        <f>IFERROR(INDEX(Source!$A$2:$S$86,Source!$AA15,COLUMNS(Source!$X$2:AB15)),"")</f>
        <v>239</v>
      </c>
      <c r="F30" s="8" t="str">
        <f>IFERROR(INDEX(Source!$A$2:$S$86,Source!$AA15,COLUMNS(Source!$X$2:AC15)),"")</f>
        <v>PC</v>
      </c>
      <c r="G30" s="8" t="str">
        <f>IFERROR(INDEX(Source!$A$2:$S$86,Source!$AA15,COLUMNS(Source!$X$2:AD15)),"")</f>
        <v>Mono</v>
      </c>
      <c r="H30" s="8" t="str">
        <f>IFERROR(INDEX(Source!$A$2:$S$86,Source!$AA15,COLUMNS(Source!$X$2:AE15)),"")</f>
        <v>120m</v>
      </c>
      <c r="I30" s="8" t="str">
        <f>IFERROR(INDEX(Source!$A$2:$S$86,Source!$AA15,COLUMNS(Source!$X$2:AF15)),"")</f>
        <v>11h</v>
      </c>
      <c r="J30" s="40" t="str">
        <f>IFERROR(INDEX(Source!$A$2:$S$86,Source!$AA15,COLUMNS(Source!$X$2:AG15)),"")</f>
        <v>100h</v>
      </c>
      <c r="K30" s="40">
        <f>IFERROR(INDEX(Source!$A$2:$S$86,Source!$AA15,COLUMNS(Source!$X$2:AH15)),"")</f>
        <v>0</v>
      </c>
      <c r="L30" s="40" t="str">
        <f>IFERROR(INDEX(Source!$A$2:$S$86,Source!$AA15,COLUMNS(Source!$X$2:AI15)),"")</f>
        <v>4 casques sur même base</v>
      </c>
      <c r="M30" s="40">
        <f>IFERROR(INDEX(Source!$A$2:$S$86,Source!$AA15,COLUMNS(Source!$X$2:AJ15)),"")</f>
        <v>0</v>
      </c>
      <c r="N30" s="40">
        <f>IFERROR(INDEX(Source!$A$2:$S$86,Source!$AA15,COLUMNS(Source!$X$2:AK15)),"")</f>
        <v>0</v>
      </c>
      <c r="O30" s="40">
        <f>IFERROR(INDEX(Source!$A$2:$S$86,Source!$AA15,COLUMNS(Source!$X$2:AL15)),"")</f>
        <v>0</v>
      </c>
      <c r="P30" s="40" t="str">
        <f>IFERROR(INDEX(Source!$A$2:$S$86,Source!$AA15,COLUMNS(Source!$X$2:AM15)),"")</f>
        <v>22g</v>
      </c>
      <c r="Q30" s="40" t="str">
        <f>IFERROR(INDEX(Source!$A$2:$S$86,Source!$AA15,COLUMNS(Source!$X$2:AN15)),"")</f>
        <v>Oui</v>
      </c>
      <c r="R30" s="40">
        <f>IFERROR(INDEX(Source!$A$2:$S$86,Source!$AA15,COLUMNS(Source!$X$2:AO15)),"")</f>
        <v>0</v>
      </c>
      <c r="S30" s="40" t="str">
        <f>IFERROR(INDEX(Source!$A$2:$S$86,Source!$AA15,COLUMNS(Source!$X$2:AP15)),"")</f>
        <v>2 ans</v>
      </c>
    </row>
    <row r="31" spans="1:19" x14ac:dyDescent="0.25">
      <c r="A31" s="8" t="str">
        <f>IFERROR(INDEX(Source!$A$2:$S$86,Source!$AA16,COLUMNS(Source!$X$2:X16)),"")</f>
        <v>SENNHEISER</v>
      </c>
      <c r="B31" s="8" t="str">
        <f>IFERROR(INDEX(Source!$A$2:$S$86,Source!$AA16,COLUMNS(Source!$X$2:Y16)),"")</f>
        <v>DW Office USB</v>
      </c>
      <c r="C31" s="8" t="str">
        <f>IFERROR(INDEX(Source!$A$2:$S$86,Source!$AA16,COLUMNS(Source!$X$2:Z16)),"")</f>
        <v>Sans Fil</v>
      </c>
      <c r="D31" s="8">
        <f>IFERROR(INDEX(Source!$A$2:$S$86,Source!$AA16,COLUMNS(Source!$X$2:AA16)),"")</f>
        <v>504312</v>
      </c>
      <c r="E31" s="18">
        <f>IFERROR(INDEX(Source!$A$2:$S$86,Source!$AA16,COLUMNS(Source!$X$2:AB16)),"")</f>
        <v>299</v>
      </c>
      <c r="F31" s="8" t="str">
        <f>IFERROR(INDEX(Source!$A$2:$S$86,Source!$AA16,COLUMNS(Source!$X$2:AC16)),"")</f>
        <v>PC</v>
      </c>
      <c r="G31" s="8" t="str">
        <f>IFERROR(INDEX(Source!$A$2:$S$86,Source!$AA16,COLUMNS(Source!$X$2:AD16)),"")</f>
        <v>Mono</v>
      </c>
      <c r="H31" s="8" t="str">
        <f>IFERROR(INDEX(Source!$A$2:$S$86,Source!$AA16,COLUMNS(Source!$X$2:AE16)),"")</f>
        <v>120m</v>
      </c>
      <c r="I31" s="8" t="str">
        <f>IFERROR(INDEX(Source!$A$2:$S$86,Source!$AA16,COLUMNS(Source!$X$2:AF16)),"")</f>
        <v>11h</v>
      </c>
      <c r="J31" s="40" t="str">
        <f>IFERROR(INDEX(Source!$A$2:$S$86,Source!$AA16,COLUMNS(Source!$X$2:AG16)),"")</f>
        <v>100h</v>
      </c>
      <c r="K31" s="40">
        <f>IFERROR(INDEX(Source!$A$2:$S$86,Source!$AA16,COLUMNS(Source!$X$2:AH16)),"")</f>
        <v>0</v>
      </c>
      <c r="L31" s="40" t="str">
        <f>IFERROR(INDEX(Source!$A$2:$S$86,Source!$AA16,COLUMNS(Source!$X$2:AI16)),"")</f>
        <v>4 casques sur même base</v>
      </c>
      <c r="M31" s="40">
        <f>IFERROR(INDEX(Source!$A$2:$S$86,Source!$AA16,COLUMNS(Source!$X$2:AJ16)),"")</f>
        <v>0</v>
      </c>
      <c r="N31" s="40">
        <f>IFERROR(INDEX(Source!$A$2:$S$86,Source!$AA16,COLUMNS(Source!$X$2:AK16)),"")</f>
        <v>0</v>
      </c>
      <c r="O31" s="40">
        <f>IFERROR(INDEX(Source!$A$2:$S$86,Source!$AA16,COLUMNS(Source!$X$2:AL16)),"")</f>
        <v>0</v>
      </c>
      <c r="P31" s="40" t="str">
        <f>IFERROR(INDEX(Source!$A$2:$S$86,Source!$AA16,COLUMNS(Source!$X$2:AM16)),"")</f>
        <v>22g</v>
      </c>
      <c r="Q31" s="40" t="str">
        <f>IFERROR(INDEX(Source!$A$2:$S$86,Source!$AA16,COLUMNS(Source!$X$2:AN16)),"")</f>
        <v>Non</v>
      </c>
      <c r="R31" s="40">
        <f>IFERROR(INDEX(Source!$A$2:$S$86,Source!$AA16,COLUMNS(Source!$X$2:AO16)),"")</f>
        <v>0</v>
      </c>
      <c r="S31" s="40" t="str">
        <f>IFERROR(INDEX(Source!$A$2:$S$86,Source!$AA16,COLUMNS(Source!$X$2:AP16)),"")</f>
        <v>2 ans</v>
      </c>
    </row>
    <row r="32" spans="1:19" x14ac:dyDescent="0.25">
      <c r="A32" s="8" t="str">
        <f>IFERROR(INDEX(Source!$A$2:$S$86,Source!$AA17,COLUMNS(Source!$X$2:X17)),"")</f>
        <v>SENNHEISER</v>
      </c>
      <c r="B32" s="8" t="str">
        <f>IFERROR(INDEX(Source!$A$2:$S$86,Source!$AA17,COLUMNS(Source!$X$2:Y17)),"")</f>
        <v>DW Office USB ML</v>
      </c>
      <c r="C32" s="8" t="str">
        <f>IFERROR(INDEX(Source!$A$2:$S$86,Source!$AA17,COLUMNS(Source!$X$2:Z17)),"")</f>
        <v>Sans Fil</v>
      </c>
      <c r="D32" s="8">
        <f>IFERROR(INDEX(Source!$A$2:$S$86,Source!$AA17,COLUMNS(Source!$X$2:AA17)),"")</f>
        <v>504466</v>
      </c>
      <c r="E32" s="18">
        <f>IFERROR(INDEX(Source!$A$2:$S$86,Source!$AA17,COLUMNS(Source!$X$2:AB17)),"")</f>
        <v>299</v>
      </c>
      <c r="F32" s="8" t="str">
        <f>IFERROR(INDEX(Source!$A$2:$S$86,Source!$AA17,COLUMNS(Source!$X$2:AC17)),"")</f>
        <v>PC</v>
      </c>
      <c r="G32" s="8" t="str">
        <f>IFERROR(INDEX(Source!$A$2:$S$86,Source!$AA17,COLUMNS(Source!$X$2:AD17)),"")</f>
        <v>Mono</v>
      </c>
      <c r="H32" s="8" t="str">
        <f>IFERROR(INDEX(Source!$A$2:$S$86,Source!$AA17,COLUMNS(Source!$X$2:AE17)),"")</f>
        <v>120m</v>
      </c>
      <c r="I32" s="8" t="str">
        <f>IFERROR(INDEX(Source!$A$2:$S$86,Source!$AA17,COLUMNS(Source!$X$2:AF17)),"")</f>
        <v>11h</v>
      </c>
      <c r="J32" s="40" t="str">
        <f>IFERROR(INDEX(Source!$A$2:$S$86,Source!$AA17,COLUMNS(Source!$X$2:AG17)),"")</f>
        <v>100h</v>
      </c>
      <c r="K32" s="40">
        <f>IFERROR(INDEX(Source!$A$2:$S$86,Source!$AA17,COLUMNS(Source!$X$2:AH17)),"")</f>
        <v>0</v>
      </c>
      <c r="L32" s="40" t="str">
        <f>IFERROR(INDEX(Source!$A$2:$S$86,Source!$AA17,COLUMNS(Source!$X$2:AI17)),"")</f>
        <v>4 casques sur même base</v>
      </c>
      <c r="M32" s="40">
        <f>IFERROR(INDEX(Source!$A$2:$S$86,Source!$AA17,COLUMNS(Source!$X$2:AJ17)),"")</f>
        <v>0</v>
      </c>
      <c r="N32" s="40">
        <f>IFERROR(INDEX(Source!$A$2:$S$86,Source!$AA17,COLUMNS(Source!$X$2:AK17)),"")</f>
        <v>0</v>
      </c>
      <c r="O32" s="40">
        <f>IFERROR(INDEX(Source!$A$2:$S$86,Source!$AA17,COLUMNS(Source!$X$2:AL17)),"")</f>
        <v>0</v>
      </c>
      <c r="P32" s="40" t="str">
        <f>IFERROR(INDEX(Source!$A$2:$S$86,Source!$AA17,COLUMNS(Source!$X$2:AM17)),"")</f>
        <v>22g</v>
      </c>
      <c r="Q32" s="40" t="str">
        <f>IFERROR(INDEX(Source!$A$2:$S$86,Source!$AA17,COLUMNS(Source!$X$2:AN17)),"")</f>
        <v>Oui</v>
      </c>
      <c r="R32" s="40">
        <f>IFERROR(INDEX(Source!$A$2:$S$86,Source!$AA17,COLUMNS(Source!$X$2:AO17)),"")</f>
        <v>0</v>
      </c>
      <c r="S32" s="40" t="str">
        <f>IFERROR(INDEX(Source!$A$2:$S$86,Source!$AA17,COLUMNS(Source!$X$2:AP17)),"")</f>
        <v>2 ans</v>
      </c>
    </row>
    <row r="33" spans="1:19" x14ac:dyDescent="0.25">
      <c r="A33" s="8" t="str">
        <f>IFERROR(INDEX(Source!$A$2:$S$86,Source!$AA18,COLUMNS(Source!$X$2:X18)),"")</f>
        <v>SENNHEISER</v>
      </c>
      <c r="B33" s="8" t="str">
        <f>IFERROR(INDEX(Source!$A$2:$S$86,Source!$AA18,COLUMNS(Source!$X$2:Y18)),"")</f>
        <v>DW Pro 1 USB</v>
      </c>
      <c r="C33" s="8" t="str">
        <f>IFERROR(INDEX(Source!$A$2:$S$86,Source!$AA18,COLUMNS(Source!$X$2:Z18)),"")</f>
        <v>Sans Fil</v>
      </c>
      <c r="D33" s="8">
        <f>IFERROR(INDEX(Source!$A$2:$S$86,Source!$AA18,COLUMNS(Source!$X$2:AA18)),"")</f>
        <v>504316</v>
      </c>
      <c r="E33" s="18">
        <f>IFERROR(INDEX(Source!$A$2:$S$86,Source!$AA18,COLUMNS(Source!$X$2:AB18)),"")</f>
        <v>210</v>
      </c>
      <c r="F33" s="8" t="str">
        <f>IFERROR(INDEX(Source!$A$2:$S$86,Source!$AA18,COLUMNS(Source!$X$2:AC18)),"")</f>
        <v>PC</v>
      </c>
      <c r="G33" s="8" t="str">
        <f>IFERROR(INDEX(Source!$A$2:$S$86,Source!$AA18,COLUMNS(Source!$X$2:AD18)),"")</f>
        <v>Mono</v>
      </c>
      <c r="H33" s="8" t="str">
        <f>IFERROR(INDEX(Source!$A$2:$S$86,Source!$AA18,COLUMNS(Source!$X$2:AE18)),"")</f>
        <v>120m</v>
      </c>
      <c r="I33" s="8" t="str">
        <f>IFERROR(INDEX(Source!$A$2:$S$86,Source!$AA18,COLUMNS(Source!$X$2:AF18)),"")</f>
        <v>11h</v>
      </c>
      <c r="J33" s="40" t="str">
        <f>IFERROR(INDEX(Source!$A$2:$S$86,Source!$AA18,COLUMNS(Source!$X$2:AG18)),"")</f>
        <v>100h</v>
      </c>
      <c r="K33" s="40">
        <f>IFERROR(INDEX(Source!$A$2:$S$86,Source!$AA18,COLUMNS(Source!$X$2:AH18)),"")</f>
        <v>0</v>
      </c>
      <c r="L33" s="40" t="str">
        <f>IFERROR(INDEX(Source!$A$2:$S$86,Source!$AA18,COLUMNS(Source!$X$2:AI18)),"")</f>
        <v>4 casques sur même base</v>
      </c>
      <c r="M33" s="40">
        <f>IFERROR(INDEX(Source!$A$2:$S$86,Source!$AA18,COLUMNS(Source!$X$2:AJ18)),"")</f>
        <v>0</v>
      </c>
      <c r="N33" s="40">
        <f>IFERROR(INDEX(Source!$A$2:$S$86,Source!$AA18,COLUMNS(Source!$X$2:AK18)),"")</f>
        <v>0</v>
      </c>
      <c r="O33" s="40">
        <f>IFERROR(INDEX(Source!$A$2:$S$86,Source!$AA18,COLUMNS(Source!$X$2:AL18)),"")</f>
        <v>0</v>
      </c>
      <c r="P33" s="40" t="str">
        <f>IFERROR(INDEX(Source!$A$2:$S$86,Source!$AA18,COLUMNS(Source!$X$2:AM18)),"")</f>
        <v>65g</v>
      </c>
      <c r="Q33" s="40" t="str">
        <f>IFERROR(INDEX(Source!$A$2:$S$86,Source!$AA18,COLUMNS(Source!$X$2:AN18)),"")</f>
        <v>Non</v>
      </c>
      <c r="R33" s="40">
        <f>IFERROR(INDEX(Source!$A$2:$S$86,Source!$AA18,COLUMNS(Source!$X$2:AO18)),"")</f>
        <v>0</v>
      </c>
      <c r="S33" s="40" t="str">
        <f>IFERROR(INDEX(Source!$A$2:$S$86,Source!$AA18,COLUMNS(Source!$X$2:AP18)),"")</f>
        <v>2 ans</v>
      </c>
    </row>
    <row r="34" spans="1:19" x14ac:dyDescent="0.25">
      <c r="A34" s="8" t="str">
        <f>IFERROR(INDEX(Source!$A$2:$S$86,Source!$AA19,COLUMNS(Source!$X$2:X19)),"")</f>
        <v>SENNHEISER</v>
      </c>
      <c r="B34" s="8" t="str">
        <f>IFERROR(INDEX(Source!$A$2:$S$86,Source!$AA19,COLUMNS(Source!$X$2:Y19)),"")</f>
        <v>DW Pro 1 USB ML</v>
      </c>
      <c r="C34" s="8" t="str">
        <f>IFERROR(INDEX(Source!$A$2:$S$86,Source!$AA19,COLUMNS(Source!$X$2:Z19)),"")</f>
        <v>Sans Fil</v>
      </c>
      <c r="D34" s="8">
        <f>IFERROR(INDEX(Source!$A$2:$S$86,Source!$AA19,COLUMNS(Source!$X$2:AA19)),"")</f>
        <v>504470</v>
      </c>
      <c r="E34" s="18">
        <f>IFERROR(INDEX(Source!$A$2:$S$86,Source!$AA19,COLUMNS(Source!$X$2:AB19)),"")</f>
        <v>229</v>
      </c>
      <c r="F34" s="8" t="str">
        <f>IFERROR(INDEX(Source!$A$2:$S$86,Source!$AA19,COLUMNS(Source!$X$2:AC19)),"")</f>
        <v>PC</v>
      </c>
      <c r="G34" s="8" t="str">
        <f>IFERROR(INDEX(Source!$A$2:$S$86,Source!$AA19,COLUMNS(Source!$X$2:AD19)),"")</f>
        <v>Mono</v>
      </c>
      <c r="H34" s="8" t="str">
        <f>IFERROR(INDEX(Source!$A$2:$S$86,Source!$AA19,COLUMNS(Source!$X$2:AE19)),"")</f>
        <v>120m</v>
      </c>
      <c r="I34" s="8" t="str">
        <f>IFERROR(INDEX(Source!$A$2:$S$86,Source!$AA19,COLUMNS(Source!$X$2:AF19)),"")</f>
        <v>11h</v>
      </c>
      <c r="J34" s="40" t="str">
        <f>IFERROR(INDEX(Source!$A$2:$S$86,Source!$AA19,COLUMNS(Source!$X$2:AG19)),"")</f>
        <v>100h</v>
      </c>
      <c r="K34" s="40">
        <f>IFERROR(INDEX(Source!$A$2:$S$86,Source!$AA19,COLUMNS(Source!$X$2:AH19)),"")</f>
        <v>0</v>
      </c>
      <c r="L34" s="40" t="str">
        <f>IFERROR(INDEX(Source!$A$2:$S$86,Source!$AA19,COLUMNS(Source!$X$2:AI19)),"")</f>
        <v>4 casques sur même base</v>
      </c>
      <c r="M34" s="40">
        <f>IFERROR(INDEX(Source!$A$2:$S$86,Source!$AA19,COLUMNS(Source!$X$2:AJ19)),"")</f>
        <v>0</v>
      </c>
      <c r="N34" s="40">
        <f>IFERROR(INDEX(Source!$A$2:$S$86,Source!$AA19,COLUMNS(Source!$X$2:AK19)),"")</f>
        <v>0</v>
      </c>
      <c r="O34" s="40">
        <f>IFERROR(INDEX(Source!$A$2:$S$86,Source!$AA19,COLUMNS(Source!$X$2:AL19)),"")</f>
        <v>0</v>
      </c>
      <c r="P34" s="40" t="str">
        <f>IFERROR(INDEX(Source!$A$2:$S$86,Source!$AA19,COLUMNS(Source!$X$2:AM19)),"")</f>
        <v>65g</v>
      </c>
      <c r="Q34" s="40" t="str">
        <f>IFERROR(INDEX(Source!$A$2:$S$86,Source!$AA19,COLUMNS(Source!$X$2:AN19)),"")</f>
        <v>Oui</v>
      </c>
      <c r="R34" s="40">
        <f>IFERROR(INDEX(Source!$A$2:$S$86,Source!$AA19,COLUMNS(Source!$X$2:AO19)),"")</f>
        <v>0</v>
      </c>
      <c r="S34" s="40" t="str">
        <f>IFERROR(INDEX(Source!$A$2:$S$86,Source!$AA19,COLUMNS(Source!$X$2:AP19)),"")</f>
        <v>2 ans</v>
      </c>
    </row>
    <row r="35" spans="1:19" x14ac:dyDescent="0.25">
      <c r="A35" s="8" t="str">
        <f>IFERROR(INDEX(Source!$A$2:$S$86,Source!$AA20,COLUMNS(Source!$X$2:X20)),"")</f>
        <v>SENNHEISER</v>
      </c>
      <c r="B35" s="8" t="str">
        <f>IFERROR(INDEX(Source!$A$2:$S$86,Source!$AA20,COLUMNS(Source!$X$2:Y20)),"")</f>
        <v>DW Pro 2 USB</v>
      </c>
      <c r="C35" s="8" t="str">
        <f>IFERROR(INDEX(Source!$A$2:$S$86,Source!$AA20,COLUMNS(Source!$X$2:Z20)),"")</f>
        <v>Sans Fil</v>
      </c>
      <c r="D35" s="8">
        <f>IFERROR(INDEX(Source!$A$2:$S$86,Source!$AA20,COLUMNS(Source!$X$2:AA20)),"")</f>
        <v>504320</v>
      </c>
      <c r="E35" s="18">
        <f>IFERROR(INDEX(Source!$A$2:$S$86,Source!$AA20,COLUMNS(Source!$X$2:AB20)),"")</f>
        <v>319</v>
      </c>
      <c r="F35" s="8" t="str">
        <f>IFERROR(INDEX(Source!$A$2:$S$86,Source!$AA20,COLUMNS(Source!$X$2:AC20)),"")</f>
        <v>PC</v>
      </c>
      <c r="G35" s="8" t="str">
        <f>IFERROR(INDEX(Source!$A$2:$S$86,Source!$AA20,COLUMNS(Source!$X$2:AD20)),"")</f>
        <v>Bino</v>
      </c>
      <c r="H35" s="8" t="str">
        <f>IFERROR(INDEX(Source!$A$2:$S$86,Source!$AA20,COLUMNS(Source!$X$2:AE20)),"")</f>
        <v>120m</v>
      </c>
      <c r="I35" s="8" t="str">
        <f>IFERROR(INDEX(Source!$A$2:$S$86,Source!$AA20,COLUMNS(Source!$X$2:AF20)),"")</f>
        <v>11h</v>
      </c>
      <c r="J35" s="40" t="str">
        <f>IFERROR(INDEX(Source!$A$2:$S$86,Source!$AA20,COLUMNS(Source!$X$2:AG20)),"")</f>
        <v>100h</v>
      </c>
      <c r="K35" s="40">
        <f>IFERROR(INDEX(Source!$A$2:$S$86,Source!$AA20,COLUMNS(Source!$X$2:AH20)),"")</f>
        <v>0</v>
      </c>
      <c r="L35" s="40" t="str">
        <f>IFERROR(INDEX(Source!$A$2:$S$86,Source!$AA20,COLUMNS(Source!$X$2:AI20)),"")</f>
        <v>4 casques sur même base</v>
      </c>
      <c r="M35" s="40">
        <f>IFERROR(INDEX(Source!$A$2:$S$86,Source!$AA20,COLUMNS(Source!$X$2:AJ20)),"")</f>
        <v>0</v>
      </c>
      <c r="N35" s="40">
        <f>IFERROR(INDEX(Source!$A$2:$S$86,Source!$AA20,COLUMNS(Source!$X$2:AK20)),"")</f>
        <v>0</v>
      </c>
      <c r="O35" s="40">
        <f>IFERROR(INDEX(Source!$A$2:$S$86,Source!$AA20,COLUMNS(Source!$X$2:AL20)),"")</f>
        <v>0</v>
      </c>
      <c r="P35" s="40" t="str">
        <f>IFERROR(INDEX(Source!$A$2:$S$86,Source!$AA20,COLUMNS(Source!$X$2:AM20)),"")</f>
        <v>85g</v>
      </c>
      <c r="Q35" s="40" t="str">
        <f>IFERROR(INDEX(Source!$A$2:$S$86,Source!$AA20,COLUMNS(Source!$X$2:AN20)),"")</f>
        <v>Non</v>
      </c>
      <c r="R35" s="40">
        <f>IFERROR(INDEX(Source!$A$2:$S$86,Source!$AA20,COLUMNS(Source!$X$2:AO20)),"")</f>
        <v>0</v>
      </c>
      <c r="S35" s="40" t="str">
        <f>IFERROR(INDEX(Source!$A$2:$S$86,Source!$AA20,COLUMNS(Source!$X$2:AP20)),"")</f>
        <v>2 ans</v>
      </c>
    </row>
    <row r="36" spans="1:19" x14ac:dyDescent="0.25">
      <c r="A36" s="8" t="str">
        <f>IFERROR(INDEX(Source!$A$2:$S$86,Source!$AA21,COLUMNS(Source!$X$2:X21)),"")</f>
        <v>SENNHEISER</v>
      </c>
      <c r="B36" s="8" t="str">
        <f>IFERROR(INDEX(Source!$A$2:$S$86,Source!$AA21,COLUMNS(Source!$X$2:Y21)),"")</f>
        <v>DW Pro 2 USB ML</v>
      </c>
      <c r="C36" s="8" t="str">
        <f>IFERROR(INDEX(Source!$A$2:$S$86,Source!$AA21,COLUMNS(Source!$X$2:Z21)),"")</f>
        <v>Sans Fil</v>
      </c>
      <c r="D36" s="8">
        <f>IFERROR(INDEX(Source!$A$2:$S$86,Source!$AA21,COLUMNS(Source!$X$2:AA21)),"")</f>
        <v>504474</v>
      </c>
      <c r="E36" s="18">
        <f>IFERROR(INDEX(Source!$A$2:$S$86,Source!$AA21,COLUMNS(Source!$X$2:AB21)),"")</f>
        <v>319</v>
      </c>
      <c r="F36" s="8" t="str">
        <f>IFERROR(INDEX(Source!$A$2:$S$86,Source!$AA21,COLUMNS(Source!$X$2:AC21)),"")</f>
        <v>PC</v>
      </c>
      <c r="G36" s="8" t="str">
        <f>IFERROR(INDEX(Source!$A$2:$S$86,Source!$AA21,COLUMNS(Source!$X$2:AD21)),"")</f>
        <v>Bino</v>
      </c>
      <c r="H36" s="8" t="str">
        <f>IFERROR(INDEX(Source!$A$2:$S$86,Source!$AA21,COLUMNS(Source!$X$2:AE21)),"")</f>
        <v>120m</v>
      </c>
      <c r="I36" s="8" t="str">
        <f>IFERROR(INDEX(Source!$A$2:$S$86,Source!$AA21,COLUMNS(Source!$X$2:AF21)),"")</f>
        <v>11h</v>
      </c>
      <c r="J36" s="40" t="str">
        <f>IFERROR(INDEX(Source!$A$2:$S$86,Source!$AA21,COLUMNS(Source!$X$2:AG21)),"")</f>
        <v>100h</v>
      </c>
      <c r="K36" s="40">
        <f>IFERROR(INDEX(Source!$A$2:$S$86,Source!$AA21,COLUMNS(Source!$X$2:AH21)),"")</f>
        <v>0</v>
      </c>
      <c r="L36" s="40" t="str">
        <f>IFERROR(INDEX(Source!$A$2:$S$86,Source!$AA21,COLUMNS(Source!$X$2:AI21)),"")</f>
        <v>4 casques sur même base</v>
      </c>
      <c r="M36" s="40">
        <f>IFERROR(INDEX(Source!$A$2:$S$86,Source!$AA21,COLUMNS(Source!$X$2:AJ21)),"")</f>
        <v>0</v>
      </c>
      <c r="N36" s="40">
        <f>IFERROR(INDEX(Source!$A$2:$S$86,Source!$AA21,COLUMNS(Source!$X$2:AK21)),"")</f>
        <v>0</v>
      </c>
      <c r="O36" s="40">
        <f>IFERROR(INDEX(Source!$A$2:$S$86,Source!$AA21,COLUMNS(Source!$X$2:AL21)),"")</f>
        <v>0</v>
      </c>
      <c r="P36" s="40" t="str">
        <f>IFERROR(INDEX(Source!$A$2:$S$86,Source!$AA21,COLUMNS(Source!$X$2:AM21)),"")</f>
        <v>85g</v>
      </c>
      <c r="Q36" s="40" t="str">
        <f>IFERROR(INDEX(Source!$A$2:$S$86,Source!$AA21,COLUMNS(Source!$X$2:AN21)),"")</f>
        <v>Oui</v>
      </c>
      <c r="R36" s="40">
        <f>IFERROR(INDEX(Source!$A$2:$S$86,Source!$AA21,COLUMNS(Source!$X$2:AO21)),"")</f>
        <v>0</v>
      </c>
      <c r="S36" s="40" t="str">
        <f>IFERROR(INDEX(Source!$A$2:$S$86,Source!$AA21,COLUMNS(Source!$X$2:AP21)),"")</f>
        <v>2 ans</v>
      </c>
    </row>
    <row r="37" spans="1:19" x14ac:dyDescent="0.25">
      <c r="A37" s="8" t="str">
        <f>IFERROR(INDEX(Source!$A$2:$S$86,Source!$AA22,COLUMNS(Source!$X$2:X22)),"")</f>
        <v>JABRA</v>
      </c>
      <c r="B37" s="8" t="str">
        <f>IFERROR(INDEX(Source!$A$2:$S$86,Source!$AA22,COLUMNS(Source!$X$2:Y22)),"")</f>
        <v>PRO 920 MONO</v>
      </c>
      <c r="C37" s="8" t="str">
        <f>IFERROR(INDEX(Source!$A$2:$S$86,Source!$AA22,COLUMNS(Source!$X$2:Z22)),"")</f>
        <v>Sans Fil</v>
      </c>
      <c r="D37" s="8" t="str">
        <f>IFERROR(INDEX(Source!$A$2:$S$86,Source!$AA22,COLUMNS(Source!$X$2:AA22)),"")</f>
        <v>920-25-508-101</v>
      </c>
      <c r="E37" s="18">
        <f>IFERROR(INDEX(Source!$A$2:$S$86,Source!$AA22,COLUMNS(Source!$X$2:AB22)),"")</f>
        <v>199</v>
      </c>
      <c r="F37" s="8" t="str">
        <f>IFERROR(INDEX(Source!$A$2:$S$86,Source!$AA22,COLUMNS(Source!$X$2:AC22)),"")</f>
        <v>TEL</v>
      </c>
      <c r="G37" s="8" t="str">
        <f>IFERROR(INDEX(Source!$A$2:$S$86,Source!$AA22,COLUMNS(Source!$X$2:AD22)),"")</f>
        <v>Mono</v>
      </c>
      <c r="H37" s="8" t="str">
        <f>IFERROR(INDEX(Source!$A$2:$S$86,Source!$AA22,COLUMNS(Source!$X$2:AE22)),"")</f>
        <v>120m</v>
      </c>
      <c r="I37" s="8" t="str">
        <f>IFERROR(INDEX(Source!$A$2:$S$86,Source!$AA22,COLUMNS(Source!$X$2:AF22)),"")</f>
        <v>8h</v>
      </c>
      <c r="J37" s="40" t="str">
        <f>IFERROR(INDEX(Source!$A$2:$S$86,Source!$AA22,COLUMNS(Source!$X$2:AG22)),"")</f>
        <v>36h</v>
      </c>
      <c r="K37" s="40">
        <f>IFERROR(INDEX(Source!$A$2:$S$86,Source!$AA22,COLUMNS(Source!$X$2:AH22)),"")</f>
        <v>0</v>
      </c>
      <c r="L37" s="40" t="str">
        <f>IFERROR(INDEX(Source!$A$2:$S$86,Source!$AA22,COLUMNS(Source!$X$2:AI22)),"")</f>
        <v>4 casques sur même base</v>
      </c>
      <c r="M37" s="40">
        <f>IFERROR(INDEX(Source!$A$2:$S$86,Source!$AA22,COLUMNS(Source!$X$2:AJ22)),"")</f>
        <v>0</v>
      </c>
      <c r="N37" s="40">
        <f>IFERROR(INDEX(Source!$A$2:$S$86,Source!$AA22,COLUMNS(Source!$X$2:AK22)),"")</f>
        <v>0</v>
      </c>
      <c r="O37" s="40">
        <f>IFERROR(INDEX(Source!$A$2:$S$86,Source!$AA22,COLUMNS(Source!$X$2:AL22)),"")</f>
        <v>0</v>
      </c>
      <c r="P37" s="40" t="str">
        <f>IFERROR(INDEX(Source!$A$2:$S$86,Source!$AA22,COLUMNS(Source!$X$2:AM22)),"")</f>
        <v>28g</v>
      </c>
      <c r="Q37" s="40">
        <f>IFERROR(INDEX(Source!$A$2:$S$86,Source!$AA22,COLUMNS(Source!$X$2:AN22)),"")</f>
        <v>0</v>
      </c>
      <c r="R37" s="40" t="str">
        <f>IFERROR(INDEX(Source!$A$2:$S$86,Source!$AA22,COLUMNS(Source!$X$2:AO22)),"")</f>
        <v>Contour de nuque contour d'oreille</v>
      </c>
      <c r="S37" s="40" t="str">
        <f>IFERROR(INDEX(Source!$A$2:$S$86,Source!$AA22,COLUMNS(Source!$X$2:AP22)),"")</f>
        <v>2 ans</v>
      </c>
    </row>
    <row r="38" spans="1:19" x14ac:dyDescent="0.25">
      <c r="A38" s="8" t="str">
        <f>IFERROR(INDEX(Source!$A$2:$S$86,Source!$AA23,COLUMNS(Source!$X$2:X23)),"")</f>
        <v>JABRA</v>
      </c>
      <c r="B38" s="8" t="str">
        <f>IFERROR(INDEX(Source!$A$2:$S$86,Source!$AA23,COLUMNS(Source!$X$2:Y23)),"")</f>
        <v>PRO 920 DUO</v>
      </c>
      <c r="C38" s="8" t="str">
        <f>IFERROR(INDEX(Source!$A$2:$S$86,Source!$AA23,COLUMNS(Source!$X$2:Z23)),"")</f>
        <v>Sans Fil</v>
      </c>
      <c r="D38" s="8" t="str">
        <f>IFERROR(INDEX(Source!$A$2:$S$86,Source!$AA23,COLUMNS(Source!$X$2:AA23)),"")</f>
        <v>920-29-508-101</v>
      </c>
      <c r="E38" s="18">
        <f>IFERROR(INDEX(Source!$A$2:$S$86,Source!$AA23,COLUMNS(Source!$X$2:AB23)),"")</f>
        <v>269</v>
      </c>
      <c r="F38" s="8" t="str">
        <f>IFERROR(INDEX(Source!$A$2:$S$86,Source!$AA23,COLUMNS(Source!$X$2:AC23)),"")</f>
        <v>TEL</v>
      </c>
      <c r="G38" s="8" t="str">
        <f>IFERROR(INDEX(Source!$A$2:$S$86,Source!$AA23,COLUMNS(Source!$X$2:AD23)),"")</f>
        <v>Bino</v>
      </c>
      <c r="H38" s="8" t="str">
        <f>IFERROR(INDEX(Source!$A$2:$S$86,Source!$AA23,COLUMNS(Source!$X$2:AE23)),"")</f>
        <v>120m</v>
      </c>
      <c r="I38" s="8" t="str">
        <f>IFERROR(INDEX(Source!$A$2:$S$86,Source!$AA23,COLUMNS(Source!$X$2:AF23)),"")</f>
        <v>8h</v>
      </c>
      <c r="J38" s="40" t="str">
        <f>IFERROR(INDEX(Source!$A$2:$S$86,Source!$AA23,COLUMNS(Source!$X$2:AG23)),"")</f>
        <v>36h</v>
      </c>
      <c r="K38" s="40">
        <f>IFERROR(INDEX(Source!$A$2:$S$86,Source!$AA23,COLUMNS(Source!$X$2:AH23)),"")</f>
        <v>0</v>
      </c>
      <c r="L38" s="40" t="str">
        <f>IFERROR(INDEX(Source!$A$2:$S$86,Source!$AA23,COLUMNS(Source!$X$2:AI23)),"")</f>
        <v>4 casques sur même base</v>
      </c>
      <c r="M38" s="40">
        <f>IFERROR(INDEX(Source!$A$2:$S$86,Source!$AA23,COLUMNS(Source!$X$2:AJ23)),"")</f>
        <v>0</v>
      </c>
      <c r="N38" s="40">
        <f>IFERROR(INDEX(Source!$A$2:$S$86,Source!$AA23,COLUMNS(Source!$X$2:AK23)),"")</f>
        <v>0</v>
      </c>
      <c r="O38" s="40">
        <f>IFERROR(INDEX(Source!$A$2:$S$86,Source!$AA23,COLUMNS(Source!$X$2:AL23)),"")</f>
        <v>0</v>
      </c>
      <c r="P38" s="40" t="str">
        <f>IFERROR(INDEX(Source!$A$2:$S$86,Source!$AA23,COLUMNS(Source!$X$2:AM23)),"")</f>
        <v>38g</v>
      </c>
      <c r="Q38" s="40">
        <f>IFERROR(INDEX(Source!$A$2:$S$86,Source!$AA23,COLUMNS(Source!$X$2:AN23)),"")</f>
        <v>0</v>
      </c>
      <c r="R38" s="40">
        <f>IFERROR(INDEX(Source!$A$2:$S$86,Source!$AA23,COLUMNS(Source!$X$2:AO23)),"")</f>
        <v>0</v>
      </c>
      <c r="S38" s="40" t="str">
        <f>IFERROR(INDEX(Source!$A$2:$S$86,Source!$AA23,COLUMNS(Source!$X$2:AP23)),"")</f>
        <v>2 ans</v>
      </c>
    </row>
    <row r="39" spans="1:19" x14ac:dyDescent="0.25">
      <c r="A39" s="8" t="str">
        <f>IFERROR(INDEX(Source!$A$2:$S$86,Source!$AA24,COLUMNS(Source!$X$2:X24)),"")</f>
        <v>PLANTRONICS</v>
      </c>
      <c r="B39" s="8" t="str">
        <f>IFERROR(INDEX(Source!$A$2:$S$86,Source!$AA24,COLUMNS(Source!$X$2:Y24)),"")</f>
        <v>CS510</v>
      </c>
      <c r="C39" s="8" t="str">
        <f>IFERROR(INDEX(Source!$A$2:$S$86,Source!$AA24,COLUMNS(Source!$X$2:Z24)),"")</f>
        <v>Sans Fil</v>
      </c>
      <c r="D39" s="8" t="str">
        <f>IFERROR(INDEX(Source!$A$2:$S$86,Source!$AA24,COLUMNS(Source!$X$2:AA24)),"")</f>
        <v>84691-02</v>
      </c>
      <c r="E39" s="18">
        <f>IFERROR(INDEX(Source!$A$2:$S$86,Source!$AA24,COLUMNS(Source!$X$2:AB24)),"")</f>
        <v>299</v>
      </c>
      <c r="F39" s="8" t="str">
        <f>IFERROR(INDEX(Source!$A$2:$S$86,Source!$AA24,COLUMNS(Source!$X$2:AC24)),"")</f>
        <v>TEL</v>
      </c>
      <c r="G39" s="8" t="str">
        <f>IFERROR(INDEX(Source!$A$2:$S$86,Source!$AA24,COLUMNS(Source!$X$2:AD24)),"")</f>
        <v>Mono</v>
      </c>
      <c r="H39" s="8" t="str">
        <f>IFERROR(INDEX(Source!$A$2:$S$86,Source!$AA24,COLUMNS(Source!$X$2:AE24)),"")</f>
        <v>120m</v>
      </c>
      <c r="I39" s="8" t="str">
        <f>IFERROR(INDEX(Source!$A$2:$S$86,Source!$AA24,COLUMNS(Source!$X$2:AF24)),"")</f>
        <v>9h</v>
      </c>
      <c r="J39" s="40" t="str">
        <f>IFERROR(INDEX(Source!$A$2:$S$86,Source!$AA24,COLUMNS(Source!$X$2:AG24)),"")</f>
        <v>60h</v>
      </c>
      <c r="K39" s="40">
        <f>IFERROR(INDEX(Source!$A$2:$S$86,Source!$AA24,COLUMNS(Source!$X$2:AH24)),"")</f>
        <v>0</v>
      </c>
      <c r="L39" s="40" t="str">
        <f>IFERROR(INDEX(Source!$A$2:$S$86,Source!$AA24,COLUMNS(Source!$X$2:AI24)),"")</f>
        <v>4 casques sur même base</v>
      </c>
      <c r="M39" s="40">
        <f>IFERROR(INDEX(Source!$A$2:$S$86,Source!$AA24,COLUMNS(Source!$X$2:AJ24)),"")</f>
        <v>0</v>
      </c>
      <c r="N39" s="40">
        <f>IFERROR(INDEX(Source!$A$2:$S$86,Source!$AA24,COLUMNS(Source!$X$2:AK24)),"")</f>
        <v>0</v>
      </c>
      <c r="O39" s="40">
        <f>IFERROR(INDEX(Source!$A$2:$S$86,Source!$AA24,COLUMNS(Source!$X$2:AL24)),"")</f>
        <v>0</v>
      </c>
      <c r="P39" s="40" t="str">
        <f>IFERROR(INDEX(Source!$A$2:$S$86,Source!$AA24,COLUMNS(Source!$X$2:AM24)),"")</f>
        <v>72g</v>
      </c>
      <c r="Q39" s="40">
        <f>IFERROR(INDEX(Source!$A$2:$S$86,Source!$AA24,COLUMNS(Source!$X$2:AN24)),"")</f>
        <v>0</v>
      </c>
      <c r="R39" s="40">
        <f>IFERROR(INDEX(Source!$A$2:$S$86,Source!$AA24,COLUMNS(Source!$X$2:AO24)),"")</f>
        <v>0</v>
      </c>
      <c r="S39" s="40" t="str">
        <f>IFERROR(INDEX(Source!$A$2:$S$86,Source!$AA24,COLUMNS(Source!$X$2:AP24)),"")</f>
        <v>2 ans</v>
      </c>
    </row>
    <row r="40" spans="1:19" x14ac:dyDescent="0.25">
      <c r="A40" s="8" t="str">
        <f>IFERROR(INDEX(Source!$A$2:$S$86,Source!$AA25,COLUMNS(Source!$X$2:X25)),"")</f>
        <v>PLANTRONICS</v>
      </c>
      <c r="B40" s="8" t="str">
        <f>IFERROR(INDEX(Source!$A$2:$S$86,Source!$AA25,COLUMNS(Source!$X$2:Y25)),"")</f>
        <v>CS520</v>
      </c>
      <c r="C40" s="8" t="str">
        <f>IFERROR(INDEX(Source!$A$2:$S$86,Source!$AA25,COLUMNS(Source!$X$2:Z25)),"")</f>
        <v>Sans Fil</v>
      </c>
      <c r="D40" s="8" t="str">
        <f>IFERROR(INDEX(Source!$A$2:$S$86,Source!$AA25,COLUMNS(Source!$X$2:AA25)),"")</f>
        <v>84692-02</v>
      </c>
      <c r="E40" s="18">
        <f>IFERROR(INDEX(Source!$A$2:$S$86,Source!$AA25,COLUMNS(Source!$X$2:AB25)),"")</f>
        <v>329</v>
      </c>
      <c r="F40" s="8" t="str">
        <f>IFERROR(INDEX(Source!$A$2:$S$86,Source!$AA25,COLUMNS(Source!$X$2:AC25)),"")</f>
        <v>TEL</v>
      </c>
      <c r="G40" s="8" t="str">
        <f>IFERROR(INDEX(Source!$A$2:$S$86,Source!$AA25,COLUMNS(Source!$X$2:AD25)),"")</f>
        <v>Bino</v>
      </c>
      <c r="H40" s="8" t="str">
        <f>IFERROR(INDEX(Source!$A$2:$S$86,Source!$AA25,COLUMNS(Source!$X$2:AE25)),"")</f>
        <v>120m</v>
      </c>
      <c r="I40" s="8" t="str">
        <f>IFERROR(INDEX(Source!$A$2:$S$86,Source!$AA25,COLUMNS(Source!$X$2:AF25)),"")</f>
        <v>9h</v>
      </c>
      <c r="J40" s="40" t="str">
        <f>IFERROR(INDEX(Source!$A$2:$S$86,Source!$AA25,COLUMNS(Source!$X$2:AG25)),"")</f>
        <v>60h</v>
      </c>
      <c r="K40" s="40">
        <f>IFERROR(INDEX(Source!$A$2:$S$86,Source!$AA25,COLUMNS(Source!$X$2:AH25)),"")</f>
        <v>0</v>
      </c>
      <c r="L40" s="40" t="str">
        <f>IFERROR(INDEX(Source!$A$2:$S$86,Source!$AA25,COLUMNS(Source!$X$2:AI25)),"")</f>
        <v>4 casques sur même base</v>
      </c>
      <c r="M40" s="40">
        <f>IFERROR(INDEX(Source!$A$2:$S$86,Source!$AA25,COLUMNS(Source!$X$2:AJ25)),"")</f>
        <v>0</v>
      </c>
      <c r="N40" s="40">
        <f>IFERROR(INDEX(Source!$A$2:$S$86,Source!$AA25,COLUMNS(Source!$X$2:AK25)),"")</f>
        <v>0</v>
      </c>
      <c r="O40" s="40">
        <f>IFERROR(INDEX(Source!$A$2:$S$86,Source!$AA25,COLUMNS(Source!$X$2:AL25)),"")</f>
        <v>0</v>
      </c>
      <c r="P40" s="40" t="str">
        <f>IFERROR(INDEX(Source!$A$2:$S$86,Source!$AA25,COLUMNS(Source!$X$2:AM25)),"")</f>
        <v>94g</v>
      </c>
      <c r="Q40" s="40">
        <f>IFERROR(INDEX(Source!$A$2:$S$86,Source!$AA25,COLUMNS(Source!$X$2:AN25)),"")</f>
        <v>0</v>
      </c>
      <c r="R40" s="40">
        <f>IFERROR(INDEX(Source!$A$2:$S$86,Source!$AA25,COLUMNS(Source!$X$2:AO25)),"")</f>
        <v>0</v>
      </c>
      <c r="S40" s="40" t="str">
        <f>IFERROR(INDEX(Source!$A$2:$S$86,Source!$AA25,COLUMNS(Source!$X$2:AP25)),"")</f>
        <v>2 ans</v>
      </c>
    </row>
    <row r="41" spans="1:19" x14ac:dyDescent="0.25">
      <c r="A41" s="8" t="str">
        <f>IFERROR(INDEX(Source!$A$2:$S$86,Source!$AA26,COLUMNS(Source!$X$2:X26)),"")</f>
        <v>PLANTRONICS</v>
      </c>
      <c r="B41" s="8" t="str">
        <f>IFERROR(INDEX(Source!$A$2:$S$86,Source!$AA26,COLUMNS(Source!$X$2:Y26)),"")</f>
        <v>CS530</v>
      </c>
      <c r="C41" s="8" t="str">
        <f>IFERROR(INDEX(Source!$A$2:$S$86,Source!$AA26,COLUMNS(Source!$X$2:Z26)),"")</f>
        <v>Sans Fil</v>
      </c>
      <c r="D41" s="8" t="str">
        <f>IFERROR(INDEX(Source!$A$2:$S$86,Source!$AA26,COLUMNS(Source!$X$2:AA26)),"")</f>
        <v>86305-02</v>
      </c>
      <c r="E41" s="18">
        <f>IFERROR(INDEX(Source!$A$2:$S$86,Source!$AA26,COLUMNS(Source!$X$2:AB26)),"")</f>
        <v>249</v>
      </c>
      <c r="F41" s="8" t="str">
        <f>IFERROR(INDEX(Source!$A$2:$S$86,Source!$AA26,COLUMNS(Source!$X$2:AC26)),"")</f>
        <v>TEL</v>
      </c>
      <c r="G41" s="8" t="str">
        <f>IFERROR(INDEX(Source!$A$2:$S$86,Source!$AA26,COLUMNS(Source!$X$2:AD26)),"")</f>
        <v>Mono</v>
      </c>
      <c r="H41" s="8" t="str">
        <f>IFERROR(INDEX(Source!$A$2:$S$86,Source!$AA26,COLUMNS(Source!$X$2:AE26)),"")</f>
        <v>120m</v>
      </c>
      <c r="I41" s="8" t="str">
        <f>IFERROR(INDEX(Source!$A$2:$S$86,Source!$AA26,COLUMNS(Source!$X$2:AF26)),"")</f>
        <v>6h</v>
      </c>
      <c r="J41" s="40" t="str">
        <f>IFERROR(INDEX(Source!$A$2:$S$86,Source!$AA26,COLUMNS(Source!$X$2:AG26)),"")</f>
        <v>60h</v>
      </c>
      <c r="K41" s="40">
        <f>IFERROR(INDEX(Source!$A$2:$S$86,Source!$AA26,COLUMNS(Source!$X$2:AH26)),"")</f>
        <v>0</v>
      </c>
      <c r="L41" s="40" t="str">
        <f>IFERROR(INDEX(Source!$A$2:$S$86,Source!$AA26,COLUMNS(Source!$X$2:AI26)),"")</f>
        <v>4 casques sur même base</v>
      </c>
      <c r="M41" s="40">
        <f>IFERROR(INDEX(Source!$A$2:$S$86,Source!$AA26,COLUMNS(Source!$X$2:AJ26)),"")</f>
        <v>0</v>
      </c>
      <c r="N41" s="40">
        <f>IFERROR(INDEX(Source!$A$2:$S$86,Source!$AA26,COLUMNS(Source!$X$2:AK26)),"")</f>
        <v>0</v>
      </c>
      <c r="O41" s="40">
        <f>IFERROR(INDEX(Source!$A$2:$S$86,Source!$AA26,COLUMNS(Source!$X$2:AL26)),"")</f>
        <v>0</v>
      </c>
      <c r="P41" s="40" t="str">
        <f>IFERROR(INDEX(Source!$A$2:$S$86,Source!$AA26,COLUMNS(Source!$X$2:AM26)),"")</f>
        <v>25g</v>
      </c>
      <c r="Q41" s="40">
        <f>IFERROR(INDEX(Source!$A$2:$S$86,Source!$AA26,COLUMNS(Source!$X$2:AN26)),"")</f>
        <v>0</v>
      </c>
      <c r="R41" s="40">
        <f>IFERROR(INDEX(Source!$A$2:$S$86,Source!$AA26,COLUMNS(Source!$X$2:AO26)),"")</f>
        <v>0</v>
      </c>
      <c r="S41" s="40" t="str">
        <f>IFERROR(INDEX(Source!$A$2:$S$86,Source!$AA26,COLUMNS(Source!$X$2:AP26)),"")</f>
        <v>2 ans</v>
      </c>
    </row>
    <row r="42" spans="1:19" x14ac:dyDescent="0.25">
      <c r="A42" s="8" t="str">
        <f>IFERROR(INDEX(Source!$A$2:$S$86,Source!$AA27,COLUMNS(Source!$X$2:X27)),"")</f>
        <v>PLANTRONICS</v>
      </c>
      <c r="B42" s="8" t="str">
        <f>IFERROR(INDEX(Source!$A$2:$S$86,Source!$AA27,COLUMNS(Source!$X$2:Y27)),"")</f>
        <v>CS540</v>
      </c>
      <c r="C42" s="8" t="str">
        <f>IFERROR(INDEX(Source!$A$2:$S$86,Source!$AA27,COLUMNS(Source!$X$2:Z27)),"")</f>
        <v>Sans Fil</v>
      </c>
      <c r="D42" s="8" t="str">
        <f>IFERROR(INDEX(Source!$A$2:$S$86,Source!$AA27,COLUMNS(Source!$X$2:AA27)),"")</f>
        <v>84693-02</v>
      </c>
      <c r="E42" s="18">
        <f>IFERROR(INDEX(Source!$A$2:$S$86,Source!$AA27,COLUMNS(Source!$X$2:AB27)),"")</f>
        <v>250</v>
      </c>
      <c r="F42" s="8" t="str">
        <f>IFERROR(INDEX(Source!$A$2:$S$86,Source!$AA27,COLUMNS(Source!$X$2:AC27)),"")</f>
        <v>TEL</v>
      </c>
      <c r="G42" s="8" t="str">
        <f>IFERROR(INDEX(Source!$A$2:$S$86,Source!$AA27,COLUMNS(Source!$X$2:AD27)),"")</f>
        <v>Mono</v>
      </c>
      <c r="H42" s="8" t="str">
        <f>IFERROR(INDEX(Source!$A$2:$S$86,Source!$AA27,COLUMNS(Source!$X$2:AE27)),"")</f>
        <v>120m</v>
      </c>
      <c r="I42" s="8" t="str">
        <f>IFERROR(INDEX(Source!$A$2:$S$86,Source!$AA27,COLUMNS(Source!$X$2:AF27)),"")</f>
        <v>7h</v>
      </c>
      <c r="J42" s="40" t="str">
        <f>IFERROR(INDEX(Source!$A$2:$S$86,Source!$AA27,COLUMNS(Source!$X$2:AG27)),"")</f>
        <v>60h</v>
      </c>
      <c r="K42" s="40">
        <f>IFERROR(INDEX(Source!$A$2:$S$86,Source!$AA27,COLUMNS(Source!$X$2:AH27)),"")</f>
        <v>0</v>
      </c>
      <c r="L42" s="40" t="str">
        <f>IFERROR(INDEX(Source!$A$2:$S$86,Source!$AA27,COLUMNS(Source!$X$2:AI27)),"")</f>
        <v>4 casques sur même base</v>
      </c>
      <c r="M42" s="40">
        <f>IFERROR(INDEX(Source!$A$2:$S$86,Source!$AA27,COLUMNS(Source!$X$2:AJ27)),"")</f>
        <v>0</v>
      </c>
      <c r="N42" s="40">
        <f>IFERROR(INDEX(Source!$A$2:$S$86,Source!$AA27,COLUMNS(Source!$X$2:AK27)),"")</f>
        <v>0</v>
      </c>
      <c r="O42" s="40">
        <f>IFERROR(INDEX(Source!$A$2:$S$86,Source!$AA27,COLUMNS(Source!$X$2:AL27)),"")</f>
        <v>0</v>
      </c>
      <c r="P42" s="40" t="str">
        <f>IFERROR(INDEX(Source!$A$2:$S$86,Source!$AA27,COLUMNS(Source!$X$2:AM27)),"")</f>
        <v>21g</v>
      </c>
      <c r="Q42" s="40">
        <f>IFERROR(INDEX(Source!$A$2:$S$86,Source!$AA27,COLUMNS(Source!$X$2:AN27)),"")</f>
        <v>0</v>
      </c>
      <c r="R42" s="40" t="str">
        <f>IFERROR(INDEX(Source!$A$2:$S$86,Source!$AA27,COLUMNS(Source!$X$2:AO27)),"")</f>
        <v>Contour de nuque</v>
      </c>
      <c r="S42" s="40" t="str">
        <f>IFERROR(INDEX(Source!$A$2:$S$86,Source!$AA27,COLUMNS(Source!$X$2:AP27)),"")</f>
        <v>2 ans</v>
      </c>
    </row>
    <row r="43" spans="1:19" x14ac:dyDescent="0.25">
      <c r="A43" s="8" t="str">
        <f>IFERROR(INDEX(Source!$A$2:$S$86,Source!$AA28,COLUMNS(Source!$X$2:X28)),"")</f>
        <v>PLANTRONICS</v>
      </c>
      <c r="B43" s="8" t="str">
        <f>IFERROR(INDEX(Source!$A$2:$S$86,Source!$AA28,COLUMNS(Source!$X$2:Y28)),"")</f>
        <v>C565 (pour DECT)</v>
      </c>
      <c r="C43" s="8" t="str">
        <f>IFERROR(INDEX(Source!$A$2:$S$86,Source!$AA28,COLUMNS(Source!$X$2:Z28)),"")</f>
        <v>Sans Fil</v>
      </c>
      <c r="D43" s="8" t="str">
        <f>IFERROR(INDEX(Source!$A$2:$S$86,Source!$AA28,COLUMNS(Source!$X$2:AA28)),"")</f>
        <v>201827-02</v>
      </c>
      <c r="E43" s="18">
        <f>IFERROR(INDEX(Source!$A$2:$S$86,Source!$AA28,COLUMNS(Source!$X$2:AB28)),"")</f>
        <v>100</v>
      </c>
      <c r="F43" s="8" t="str">
        <f>IFERROR(INDEX(Source!$A$2:$S$86,Source!$AA28,COLUMNS(Source!$X$2:AC28)),"")</f>
        <v>TEL</v>
      </c>
      <c r="G43" s="8" t="str">
        <f>IFERROR(INDEX(Source!$A$2:$S$86,Source!$AA28,COLUMNS(Source!$X$2:AD28)),"")</f>
        <v>Mono</v>
      </c>
      <c r="H43" s="8" t="str">
        <f>IFERROR(INDEX(Source!$A$2:$S$86,Source!$AA28,COLUMNS(Source!$X$2:AE28)),"")</f>
        <v>120m</v>
      </c>
      <c r="I43" s="8" t="str">
        <f>IFERROR(INDEX(Source!$A$2:$S$86,Source!$AA28,COLUMNS(Source!$X$2:AF28)),"")</f>
        <v>7h</v>
      </c>
      <c r="J43" s="40" t="str">
        <f>IFERROR(INDEX(Source!$A$2:$S$86,Source!$AA28,COLUMNS(Source!$X$2:AG28)),"")</f>
        <v>40h</v>
      </c>
      <c r="K43" s="40">
        <f>IFERROR(INDEX(Source!$A$2:$S$86,Source!$AA28,COLUMNS(Source!$X$2:AH28)),"")</f>
        <v>0</v>
      </c>
      <c r="L43" s="40">
        <f>IFERROR(INDEX(Source!$A$2:$S$86,Source!$AA28,COLUMNS(Source!$X$2:AI28)),"")</f>
        <v>0</v>
      </c>
      <c r="M43" s="40">
        <f>IFERROR(INDEX(Source!$A$2:$S$86,Source!$AA28,COLUMNS(Source!$X$2:AJ28)),"")</f>
        <v>0</v>
      </c>
      <c r="N43" s="40">
        <f>IFERROR(INDEX(Source!$A$2:$S$86,Source!$AA28,COLUMNS(Source!$X$2:AK28)),"")</f>
        <v>0</v>
      </c>
      <c r="O43" s="40">
        <f>IFERROR(INDEX(Source!$A$2:$S$86,Source!$AA28,COLUMNS(Source!$X$2:AL28)),"")</f>
        <v>0</v>
      </c>
      <c r="P43" s="40" t="str">
        <f>IFERROR(INDEX(Source!$A$2:$S$86,Source!$AA28,COLUMNS(Source!$X$2:AM28)),"")</f>
        <v>22g</v>
      </c>
      <c r="Q43" s="40">
        <f>IFERROR(INDEX(Source!$A$2:$S$86,Source!$AA28,COLUMNS(Source!$X$2:AN28)),"")</f>
        <v>0</v>
      </c>
      <c r="R43" s="40">
        <f>IFERROR(INDEX(Source!$A$2:$S$86,Source!$AA28,COLUMNS(Source!$X$2:AO28)),"")</f>
        <v>0</v>
      </c>
      <c r="S43" s="40" t="str">
        <f>IFERROR(INDEX(Source!$A$2:$S$86,Source!$AA28,COLUMNS(Source!$X$2:AP28)),"")</f>
        <v>2 ans</v>
      </c>
    </row>
    <row r="44" spans="1:19" x14ac:dyDescent="0.25">
      <c r="A44" s="8" t="str">
        <f>IFERROR(INDEX(Source!$A$2:$S$86,Source!$AA29,COLUMNS(Source!$X$2:X29)),"")</f>
        <v>SENNHEISER</v>
      </c>
      <c r="B44" s="8" t="str">
        <f>IFERROR(INDEX(Source!$A$2:$S$86,Source!$AA29,COLUMNS(Source!$X$2:Y29)),"")</f>
        <v>D10</v>
      </c>
      <c r="C44" s="8" t="str">
        <f>IFERROR(INDEX(Source!$A$2:$S$86,Source!$AA29,COLUMNS(Source!$X$2:Z29)),"")</f>
        <v>Sans Fil</v>
      </c>
      <c r="D44" s="8">
        <f>IFERROR(INDEX(Source!$A$2:$S$86,Source!$AA29,COLUMNS(Source!$X$2:AA29)),"")</f>
        <v>506408</v>
      </c>
      <c r="E44" s="18">
        <f>IFERROR(INDEX(Source!$A$2:$S$86,Source!$AA29,COLUMNS(Source!$X$2:AB29)),"")</f>
        <v>239</v>
      </c>
      <c r="F44" s="8" t="str">
        <f>IFERROR(INDEX(Source!$A$2:$S$86,Source!$AA29,COLUMNS(Source!$X$2:AC29)),"")</f>
        <v>TEL</v>
      </c>
      <c r="G44" s="8" t="str">
        <f>IFERROR(INDEX(Source!$A$2:$S$86,Source!$AA29,COLUMNS(Source!$X$2:AD29)),"")</f>
        <v>Mono</v>
      </c>
      <c r="H44" s="8" t="str">
        <f>IFERROR(INDEX(Source!$A$2:$S$86,Source!$AA29,COLUMNS(Source!$X$2:AE29)),"")</f>
        <v>150m</v>
      </c>
      <c r="I44" s="8" t="str">
        <f>IFERROR(INDEX(Source!$A$2:$S$86,Source!$AA29,COLUMNS(Source!$X$2:AF29)),"")</f>
        <v>8h</v>
      </c>
      <c r="J44" s="40" t="str">
        <f>IFERROR(INDEX(Source!$A$2:$S$86,Source!$AA29,COLUMNS(Source!$X$2:AG29)),"")</f>
        <v>100h</v>
      </c>
      <c r="K44" s="40">
        <f>IFERROR(INDEX(Source!$A$2:$S$86,Source!$AA29,COLUMNS(Source!$X$2:AH29)),"")</f>
        <v>0</v>
      </c>
      <c r="L44" s="40" t="str">
        <f>IFERROR(INDEX(Source!$A$2:$S$86,Source!$AA29,COLUMNS(Source!$X$2:AI29)),"")</f>
        <v>4 casques sur même base</v>
      </c>
      <c r="M44" s="40">
        <f>IFERROR(INDEX(Source!$A$2:$S$86,Source!$AA29,COLUMNS(Source!$X$2:AJ29)),"")</f>
        <v>0</v>
      </c>
      <c r="N44" s="40">
        <f>IFERROR(INDEX(Source!$A$2:$S$86,Source!$AA29,COLUMNS(Source!$X$2:AK29)),"")</f>
        <v>0</v>
      </c>
      <c r="O44" s="40">
        <f>IFERROR(INDEX(Source!$A$2:$S$86,Source!$AA29,COLUMNS(Source!$X$2:AL29)),"")</f>
        <v>0</v>
      </c>
      <c r="P44" s="40" t="str">
        <f>IFERROR(INDEX(Source!$A$2:$S$86,Source!$AA29,COLUMNS(Source!$X$2:AM29)),"")</f>
        <v>22g</v>
      </c>
      <c r="Q44" s="40">
        <f>IFERROR(INDEX(Source!$A$2:$S$86,Source!$AA29,COLUMNS(Source!$X$2:AN29)),"")</f>
        <v>0</v>
      </c>
      <c r="R44" s="40">
        <f>IFERROR(INDEX(Source!$A$2:$S$86,Source!$AA29,COLUMNS(Source!$X$2:AO29)),"")</f>
        <v>0</v>
      </c>
      <c r="S44" s="40" t="str">
        <f>IFERROR(INDEX(Source!$A$2:$S$86,Source!$AA29,COLUMNS(Source!$X$2:AP29)),"")</f>
        <v>2 ans</v>
      </c>
    </row>
    <row r="45" spans="1:19" x14ac:dyDescent="0.25">
      <c r="A45" s="8" t="str">
        <f>IFERROR(INDEX(Source!$A$2:$S$86,Source!$AA30,COLUMNS(Source!$X$2:X30)),"")</f>
        <v>SENNHEISER</v>
      </c>
      <c r="B45" s="8" t="str">
        <f>IFERROR(INDEX(Source!$A$2:$S$86,Source!$AA30,COLUMNS(Source!$X$2:Y30)),"")</f>
        <v>DW Office Phone</v>
      </c>
      <c r="C45" s="8" t="str">
        <f>IFERROR(INDEX(Source!$A$2:$S$86,Source!$AA30,COLUMNS(Source!$X$2:Z30)),"")</f>
        <v>Sans Fil</v>
      </c>
      <c r="D45" s="8">
        <f>IFERROR(INDEX(Source!$A$2:$S$86,Source!$AA30,COLUMNS(Source!$X$2:AA30)),"")</f>
        <v>504430</v>
      </c>
      <c r="E45" s="18">
        <f>IFERROR(INDEX(Source!$A$2:$S$86,Source!$AA30,COLUMNS(Source!$X$2:AB30)),"")</f>
        <v>279</v>
      </c>
      <c r="F45" s="8" t="str">
        <f>IFERROR(INDEX(Source!$A$2:$S$86,Source!$AA30,COLUMNS(Source!$X$2:AC30)),"")</f>
        <v>TEL</v>
      </c>
      <c r="G45" s="8" t="str">
        <f>IFERROR(INDEX(Source!$A$2:$S$86,Source!$AA30,COLUMNS(Source!$X$2:AD30)),"")</f>
        <v>Mono</v>
      </c>
      <c r="H45" s="8" t="str">
        <f>IFERROR(INDEX(Source!$A$2:$S$86,Source!$AA30,COLUMNS(Source!$X$2:AE30)),"")</f>
        <v>150m</v>
      </c>
      <c r="I45" s="8" t="str">
        <f>IFERROR(INDEX(Source!$A$2:$S$86,Source!$AA30,COLUMNS(Source!$X$2:AF30)),"")</f>
        <v>8h</v>
      </c>
      <c r="J45" s="40" t="str">
        <f>IFERROR(INDEX(Source!$A$2:$S$86,Source!$AA30,COLUMNS(Source!$X$2:AG30)),"")</f>
        <v>100h</v>
      </c>
      <c r="K45" s="40">
        <f>IFERROR(INDEX(Source!$A$2:$S$86,Source!$AA30,COLUMNS(Source!$X$2:AH30)),"")</f>
        <v>0</v>
      </c>
      <c r="L45" s="40">
        <f>IFERROR(INDEX(Source!$A$2:$S$86,Source!$AA30,COLUMNS(Source!$X$2:AI30)),"")</f>
        <v>0</v>
      </c>
      <c r="M45" s="40">
        <f>IFERROR(INDEX(Source!$A$2:$S$86,Source!$AA30,COLUMNS(Source!$X$2:AJ30)),"")</f>
        <v>0</v>
      </c>
      <c r="N45" s="40">
        <f>IFERROR(INDEX(Source!$A$2:$S$86,Source!$AA30,COLUMNS(Source!$X$2:AK30)),"")</f>
        <v>0</v>
      </c>
      <c r="O45" s="40">
        <f>IFERROR(INDEX(Source!$A$2:$S$86,Source!$AA30,COLUMNS(Source!$X$2:AL30)),"")</f>
        <v>0</v>
      </c>
      <c r="P45" s="40" t="str">
        <f>IFERROR(INDEX(Source!$A$2:$S$86,Source!$AA30,COLUMNS(Source!$X$2:AM30)),"")</f>
        <v>22g</v>
      </c>
      <c r="Q45" s="40">
        <f>IFERROR(INDEX(Source!$A$2:$S$86,Source!$AA30,COLUMNS(Source!$X$2:AN30)),"")</f>
        <v>0</v>
      </c>
      <c r="R45" s="40">
        <f>IFERROR(INDEX(Source!$A$2:$S$86,Source!$AA30,COLUMNS(Source!$X$2:AO30)),"")</f>
        <v>0</v>
      </c>
      <c r="S45" s="40" t="str">
        <f>IFERROR(INDEX(Source!$A$2:$S$86,Source!$AA30,COLUMNS(Source!$X$2:AP30)),"")</f>
        <v>2 ans</v>
      </c>
    </row>
    <row r="46" spans="1:19" x14ac:dyDescent="0.25">
      <c r="A46" s="8" t="str">
        <f>IFERROR(INDEX(Source!$A$2:$S$86,Source!$AA31,COLUMNS(Source!$X$2:X31)),"")</f>
        <v>SENNHEISER</v>
      </c>
      <c r="B46" s="8" t="str">
        <f>IFERROR(INDEX(Source!$A$2:$S$86,Source!$AA31,COLUMNS(Source!$X$2:Y31)),"")</f>
        <v>DW Pro 1 Phone</v>
      </c>
      <c r="C46" s="8" t="str">
        <f>IFERROR(INDEX(Source!$A$2:$S$86,Source!$AA31,COLUMNS(Source!$X$2:Z31)),"")</f>
        <v>Sans Fil</v>
      </c>
      <c r="D46" s="8">
        <f>IFERROR(INDEX(Source!$A$2:$S$86,Source!$AA31,COLUMNS(Source!$X$2:AA31)),"")</f>
        <v>504434</v>
      </c>
      <c r="E46" s="18">
        <f>IFERROR(INDEX(Source!$A$2:$S$86,Source!$AA31,COLUMNS(Source!$X$2:AB31)),"")</f>
        <v>299</v>
      </c>
      <c r="F46" s="8" t="str">
        <f>IFERROR(INDEX(Source!$A$2:$S$86,Source!$AA31,COLUMNS(Source!$X$2:AC31)),"")</f>
        <v>TEL</v>
      </c>
      <c r="G46" s="8" t="str">
        <f>IFERROR(INDEX(Source!$A$2:$S$86,Source!$AA31,COLUMNS(Source!$X$2:AD31)),"")</f>
        <v>Mono</v>
      </c>
      <c r="H46" s="8" t="str">
        <f>IFERROR(INDEX(Source!$A$2:$S$86,Source!$AA31,COLUMNS(Source!$X$2:AE31)),"")</f>
        <v>150m</v>
      </c>
      <c r="I46" s="8" t="str">
        <f>IFERROR(INDEX(Source!$A$2:$S$86,Source!$AA31,COLUMNS(Source!$X$2:AF31)),"")</f>
        <v>8h</v>
      </c>
      <c r="J46" s="40" t="str">
        <f>IFERROR(INDEX(Source!$A$2:$S$86,Source!$AA31,COLUMNS(Source!$X$2:AG31)),"")</f>
        <v>100h</v>
      </c>
      <c r="K46" s="40">
        <f>IFERROR(INDEX(Source!$A$2:$S$86,Source!$AA31,COLUMNS(Source!$X$2:AH31)),"")</f>
        <v>0</v>
      </c>
      <c r="L46" s="40">
        <f>IFERROR(INDEX(Source!$A$2:$S$86,Source!$AA31,COLUMNS(Source!$X$2:AI31)),"")</f>
        <v>0</v>
      </c>
      <c r="M46" s="40">
        <f>IFERROR(INDEX(Source!$A$2:$S$86,Source!$AA31,COLUMNS(Source!$X$2:AJ31)),"")</f>
        <v>0</v>
      </c>
      <c r="N46" s="40">
        <f>IFERROR(INDEX(Source!$A$2:$S$86,Source!$AA31,COLUMNS(Source!$X$2:AK31)),"")</f>
        <v>0</v>
      </c>
      <c r="O46" s="40">
        <f>IFERROR(INDEX(Source!$A$2:$S$86,Source!$AA31,COLUMNS(Source!$X$2:AL31)),"")</f>
        <v>0</v>
      </c>
      <c r="P46" s="40" t="str">
        <f>IFERROR(INDEX(Source!$A$2:$S$86,Source!$AA31,COLUMNS(Source!$X$2:AM31)),"")</f>
        <v>65g</v>
      </c>
      <c r="Q46" s="40">
        <f>IFERROR(INDEX(Source!$A$2:$S$86,Source!$AA31,COLUMNS(Source!$X$2:AN31)),"")</f>
        <v>0</v>
      </c>
      <c r="R46" s="40">
        <f>IFERROR(INDEX(Source!$A$2:$S$86,Source!$AA31,COLUMNS(Source!$X$2:AO31)),"")</f>
        <v>0</v>
      </c>
      <c r="S46" s="40" t="str">
        <f>IFERROR(INDEX(Source!$A$2:$S$86,Source!$AA31,COLUMNS(Source!$X$2:AP31)),"")</f>
        <v>2 ans</v>
      </c>
    </row>
    <row r="47" spans="1:19" x14ac:dyDescent="0.25">
      <c r="A47" s="8" t="str">
        <f>IFERROR(INDEX(Source!$A$2:$S$86,Source!$AA32,COLUMNS(Source!$X$2:X32)),"")</f>
        <v>SENNHEISER</v>
      </c>
      <c r="B47" s="8" t="str">
        <f>IFERROR(INDEX(Source!$A$2:$S$86,Source!$AA32,COLUMNS(Source!$X$2:Y32)),"")</f>
        <v>DW Pro 2 Phone</v>
      </c>
      <c r="C47" s="8" t="str">
        <f>IFERROR(INDEX(Source!$A$2:$S$86,Source!$AA32,COLUMNS(Source!$X$2:Z32)),"")</f>
        <v>Sans Fil</v>
      </c>
      <c r="D47" s="8">
        <f>IFERROR(INDEX(Source!$A$2:$S$86,Source!$AA32,COLUMNS(Source!$X$2:AA32)),"")</f>
        <v>504438</v>
      </c>
      <c r="E47" s="18">
        <f>IFERROR(INDEX(Source!$A$2:$S$86,Source!$AA32,COLUMNS(Source!$X$2:AB32)),"")</f>
        <v>319</v>
      </c>
      <c r="F47" s="8" t="str">
        <f>IFERROR(INDEX(Source!$A$2:$S$86,Source!$AA32,COLUMNS(Source!$X$2:AC32)),"")</f>
        <v>TEL</v>
      </c>
      <c r="G47" s="8" t="str">
        <f>IFERROR(INDEX(Source!$A$2:$S$86,Source!$AA32,COLUMNS(Source!$X$2:AD32)),"")</f>
        <v>Mono</v>
      </c>
      <c r="H47" s="8" t="str">
        <f>IFERROR(INDEX(Source!$A$2:$S$86,Source!$AA32,COLUMNS(Source!$X$2:AE32)),"")</f>
        <v>150m</v>
      </c>
      <c r="I47" s="8" t="str">
        <f>IFERROR(INDEX(Source!$A$2:$S$86,Source!$AA32,COLUMNS(Source!$X$2:AF32)),"")</f>
        <v>8h</v>
      </c>
      <c r="J47" s="40" t="str">
        <f>IFERROR(INDEX(Source!$A$2:$S$86,Source!$AA32,COLUMNS(Source!$X$2:AG32)),"")</f>
        <v>100h</v>
      </c>
      <c r="K47" s="40">
        <f>IFERROR(INDEX(Source!$A$2:$S$86,Source!$AA32,COLUMNS(Source!$X$2:AH32)),"")</f>
        <v>0</v>
      </c>
      <c r="L47" s="40">
        <f>IFERROR(INDEX(Source!$A$2:$S$86,Source!$AA32,COLUMNS(Source!$X$2:AI32)),"")</f>
        <v>0</v>
      </c>
      <c r="M47" s="40">
        <f>IFERROR(INDEX(Source!$A$2:$S$86,Source!$AA32,COLUMNS(Source!$X$2:AJ32)),"")</f>
        <v>0</v>
      </c>
      <c r="N47" s="40">
        <f>IFERROR(INDEX(Source!$A$2:$S$86,Source!$AA32,COLUMNS(Source!$X$2:AK32)),"")</f>
        <v>0</v>
      </c>
      <c r="O47" s="40">
        <f>IFERROR(INDEX(Source!$A$2:$S$86,Source!$AA32,COLUMNS(Source!$X$2:AL32)),"")</f>
        <v>0</v>
      </c>
      <c r="P47" s="40" t="str">
        <f>IFERROR(INDEX(Source!$A$2:$S$86,Source!$AA32,COLUMNS(Source!$X$2:AM32)),"")</f>
        <v>85g</v>
      </c>
      <c r="Q47" s="40">
        <f>IFERROR(INDEX(Source!$A$2:$S$86,Source!$AA32,COLUMNS(Source!$X$2:AN32)),"")</f>
        <v>0</v>
      </c>
      <c r="R47" s="40">
        <f>IFERROR(INDEX(Source!$A$2:$S$86,Source!$AA32,COLUMNS(Source!$X$2:AO32)),"")</f>
        <v>0</v>
      </c>
      <c r="S47" s="40" t="str">
        <f>IFERROR(INDEX(Source!$A$2:$S$86,Source!$AA32,COLUMNS(Source!$X$2:AP32)),"")</f>
        <v>2 ans</v>
      </c>
    </row>
    <row r="48" spans="1:19" x14ac:dyDescent="0.25">
      <c r="A48" s="8" t="str">
        <f>IFERROR(INDEX(Source!$A$2:$S$86,Source!$AA33,COLUMNS(Source!$X$2:X33)),"")</f>
        <v>JABRA</v>
      </c>
      <c r="B48" s="8" t="str">
        <f>IFERROR(INDEX(Source!$A$2:$S$86,Source!$AA33,COLUMNS(Source!$X$2:Y33)),"")</f>
        <v>PRO 925 MONO</v>
      </c>
      <c r="C48" s="8" t="str">
        <f>IFERROR(INDEX(Source!$A$2:$S$86,Source!$AA33,COLUMNS(Source!$X$2:Z33)),"")</f>
        <v>Sans Fil</v>
      </c>
      <c r="D48" s="8" t="str">
        <f>IFERROR(INDEX(Source!$A$2:$S$86,Source!$AA33,COLUMNS(Source!$X$2:AA33)),"")</f>
        <v>925-15-508-201</v>
      </c>
      <c r="E48" s="18">
        <f>IFERROR(INDEX(Source!$A$2:$S$86,Source!$AA33,COLUMNS(Source!$X$2:AB33)),"")</f>
        <v>259</v>
      </c>
      <c r="F48" s="8" t="str">
        <f>IFERROR(INDEX(Source!$A$2:$S$86,Source!$AA33,COLUMNS(Source!$X$2:AC33)),"")</f>
        <v>TEL + GSM</v>
      </c>
      <c r="G48" s="8" t="str">
        <f>IFERROR(INDEX(Source!$A$2:$S$86,Source!$AA33,COLUMNS(Source!$X$2:AD33)),"")</f>
        <v>Mono</v>
      </c>
      <c r="H48" s="8" t="str">
        <f>IFERROR(INDEX(Source!$A$2:$S$86,Source!$AA33,COLUMNS(Source!$X$2:AE33)),"")</f>
        <v>100m</v>
      </c>
      <c r="I48" s="8" t="str">
        <f>IFERROR(INDEX(Source!$A$2:$S$86,Source!$AA33,COLUMNS(Source!$X$2:AF33)),"")</f>
        <v>12h</v>
      </c>
      <c r="J48" s="40" t="str">
        <f>IFERROR(INDEX(Source!$A$2:$S$86,Source!$AA33,COLUMNS(Source!$X$2:AG33)),"")</f>
        <v>150h</v>
      </c>
      <c r="K48" s="40">
        <f>IFERROR(INDEX(Source!$A$2:$S$86,Source!$AA33,COLUMNS(Source!$X$2:AH33)),"")</f>
        <v>0</v>
      </c>
      <c r="L48" s="40">
        <f>IFERROR(INDEX(Source!$A$2:$S$86,Source!$AA33,COLUMNS(Source!$X$2:AI33)),"")</f>
        <v>0</v>
      </c>
      <c r="M48" s="40">
        <f>IFERROR(INDEX(Source!$A$2:$S$86,Source!$AA33,COLUMNS(Source!$X$2:AJ33)),"")</f>
        <v>0</v>
      </c>
      <c r="N48" s="40">
        <f>IFERROR(INDEX(Source!$A$2:$S$86,Source!$AA33,COLUMNS(Source!$X$2:AK33)),"")</f>
        <v>1</v>
      </c>
      <c r="O48" s="40">
        <f>IFERROR(INDEX(Source!$A$2:$S$86,Source!$AA33,COLUMNS(Source!$X$2:AL33)),"")</f>
        <v>0</v>
      </c>
      <c r="P48" s="40" t="str">
        <f>IFERROR(INDEX(Source!$A$2:$S$86,Source!$AA33,COLUMNS(Source!$X$2:AM33)),"")</f>
        <v>28g</v>
      </c>
      <c r="Q48" s="40">
        <f>IFERROR(INDEX(Source!$A$2:$S$86,Source!$AA33,COLUMNS(Source!$X$2:AN33)),"")</f>
        <v>0</v>
      </c>
      <c r="R48" s="40">
        <f>IFERROR(INDEX(Source!$A$2:$S$86,Source!$AA33,COLUMNS(Source!$X$2:AO33)),"")</f>
        <v>0</v>
      </c>
      <c r="S48" s="40" t="str">
        <f>IFERROR(INDEX(Source!$A$2:$S$86,Source!$AA33,COLUMNS(Source!$X$2:AP33)),"")</f>
        <v>1 an</v>
      </c>
    </row>
    <row r="49" spans="1:19" x14ac:dyDescent="0.25">
      <c r="A49" s="8" t="str">
        <f>IFERROR(INDEX(Source!$A$2:$S$86,Source!$AA34,COLUMNS(Source!$X$2:X34)),"")</f>
        <v>PLANTRONICS</v>
      </c>
      <c r="B49" s="8" t="str">
        <f>IFERROR(INDEX(Source!$A$2:$S$86,Source!$AA34,COLUMNS(Source!$X$2:Y34)),"")</f>
        <v>Voyager Legend CS</v>
      </c>
      <c r="C49" s="8" t="str">
        <f>IFERROR(INDEX(Source!$A$2:$S$86,Source!$AA34,COLUMNS(Source!$X$2:Z34)),"")</f>
        <v>Sans Fil</v>
      </c>
      <c r="D49" s="8" t="str">
        <f>IFERROR(INDEX(Source!$A$2:$S$86,Source!$AA34,COLUMNS(Source!$X$2:AA34)),"")</f>
        <v>88863-02</v>
      </c>
      <c r="E49" s="18">
        <f>IFERROR(INDEX(Source!$A$2:$S$86,Source!$AA34,COLUMNS(Source!$X$2:AB34)),"")</f>
        <v>229</v>
      </c>
      <c r="F49" s="8" t="str">
        <f>IFERROR(INDEX(Source!$A$2:$S$86,Source!$AA34,COLUMNS(Source!$X$2:AC34)),"")</f>
        <v>TEL + GSM</v>
      </c>
      <c r="G49" s="8" t="str">
        <f>IFERROR(INDEX(Source!$A$2:$S$86,Source!$AA34,COLUMNS(Source!$X$2:AD34)),"")</f>
        <v>Mono</v>
      </c>
      <c r="H49" s="8" t="str">
        <f>IFERROR(INDEX(Source!$A$2:$S$86,Source!$AA34,COLUMNS(Source!$X$2:AE34)),"")</f>
        <v>12m</v>
      </c>
      <c r="I49" s="8" t="str">
        <f>IFERROR(INDEX(Source!$A$2:$S$86,Source!$AA34,COLUMNS(Source!$X$2:AF34)),"")</f>
        <v>7h</v>
      </c>
      <c r="J49" s="40" t="str">
        <f>IFERROR(INDEX(Source!$A$2:$S$86,Source!$AA34,COLUMNS(Source!$X$2:AG34)),"")</f>
        <v>11j</v>
      </c>
      <c r="K49" s="40">
        <f>IFERROR(INDEX(Source!$A$2:$S$86,Source!$AA34,COLUMNS(Source!$X$2:AH34)),"")</f>
        <v>0</v>
      </c>
      <c r="L49" s="40">
        <f>IFERROR(INDEX(Source!$A$2:$S$86,Source!$AA34,COLUMNS(Source!$X$2:AI34)),"")</f>
        <v>0</v>
      </c>
      <c r="M49" s="40">
        <f>IFERROR(INDEX(Source!$A$2:$S$86,Source!$AA34,COLUMNS(Source!$X$2:AJ34)),"")</f>
        <v>0</v>
      </c>
      <c r="N49" s="40">
        <f>IFERROR(INDEX(Source!$A$2:$S$86,Source!$AA34,COLUMNS(Source!$X$2:AK34)),"")</f>
        <v>3</v>
      </c>
      <c r="O49" s="40">
        <f>IFERROR(INDEX(Source!$A$2:$S$86,Source!$AA34,COLUMNS(Source!$X$2:AL34)),"")</f>
        <v>0</v>
      </c>
      <c r="P49" s="40" t="str">
        <f>IFERROR(INDEX(Source!$A$2:$S$86,Source!$AA34,COLUMNS(Source!$X$2:AM34)),"")</f>
        <v>18g</v>
      </c>
      <c r="Q49" s="40">
        <f>IFERROR(INDEX(Source!$A$2:$S$86,Source!$AA34,COLUMNS(Source!$X$2:AN34)),"")</f>
        <v>0</v>
      </c>
      <c r="R49" s="40">
        <f>IFERROR(INDEX(Source!$A$2:$S$86,Source!$AA34,COLUMNS(Source!$X$2:AO34)),"")</f>
        <v>0</v>
      </c>
      <c r="S49" s="40" t="str">
        <f>IFERROR(INDEX(Source!$A$2:$S$86,Source!$AA34,COLUMNS(Source!$X$2:AP34)),"")</f>
        <v>2 ans</v>
      </c>
    </row>
    <row r="50" spans="1:19" x14ac:dyDescent="0.25">
      <c r="A50" s="8" t="str">
        <f>IFERROR(INDEX(Source!$A$2:$S$86,Source!$AA35,COLUMNS(Source!$X$2:X35)),"")</f>
        <v>JABRA</v>
      </c>
      <c r="B50" s="8" t="str">
        <f>IFERROR(INDEX(Source!$A$2:$S$86,Source!$AA35,COLUMNS(Source!$X$2:Y35)),"")</f>
        <v>STEALTH UC</v>
      </c>
      <c r="C50" s="8" t="str">
        <f>IFERROR(INDEX(Source!$A$2:$S$86,Source!$AA35,COLUMNS(Source!$X$2:Z35)),"")</f>
        <v>Sans Fil</v>
      </c>
      <c r="D50" s="8" t="str">
        <f>IFERROR(INDEX(Source!$A$2:$S$86,Source!$AA35,COLUMNS(Source!$X$2:AA35)),"")</f>
        <v>5578-230-109</v>
      </c>
      <c r="E50" s="18">
        <f>IFERROR(INDEX(Source!$A$2:$S$86,Source!$AA35,COLUMNS(Source!$X$2:AB35)),"")</f>
        <v>110</v>
      </c>
      <c r="F50" s="8" t="str">
        <f>IFERROR(INDEX(Source!$A$2:$S$86,Source!$AA35,COLUMNS(Source!$X$2:AC35)),"")</f>
        <v>GSM + PC</v>
      </c>
      <c r="G50" s="8" t="str">
        <f>IFERROR(INDEX(Source!$A$2:$S$86,Source!$AA35,COLUMNS(Source!$X$2:AD35)),"")</f>
        <v>Mono</v>
      </c>
      <c r="H50" s="8" t="str">
        <f>IFERROR(INDEX(Source!$A$2:$S$86,Source!$AA35,COLUMNS(Source!$X$2:AE35)),"")</f>
        <v>10m - 30m(PC)</v>
      </c>
      <c r="I50" s="8" t="str">
        <f>IFERROR(INDEX(Source!$A$2:$S$86,Source!$AA35,COLUMNS(Source!$X$2:AF35)),"")</f>
        <v>6h</v>
      </c>
      <c r="J50" s="40" t="str">
        <f>IFERROR(INDEX(Source!$A$2:$S$86,Source!$AA35,COLUMNS(Source!$X$2:AG35)),"")</f>
        <v>150h</v>
      </c>
      <c r="K50" s="40">
        <f>IFERROR(INDEX(Source!$A$2:$S$86,Source!$AA35,COLUMNS(Source!$X$2:AH35)),"")</f>
        <v>0</v>
      </c>
      <c r="L50" s="40">
        <f>IFERROR(INDEX(Source!$A$2:$S$86,Source!$AA35,COLUMNS(Source!$X$2:AI35)),"")</f>
        <v>0</v>
      </c>
      <c r="M50" s="40">
        <f>IFERROR(INDEX(Source!$A$2:$S$86,Source!$AA35,COLUMNS(Source!$X$2:AJ35)),"")</f>
        <v>0</v>
      </c>
      <c r="N50" s="40">
        <f>IFERROR(INDEX(Source!$A$2:$S$86,Source!$AA35,COLUMNS(Source!$X$2:AK35)),"")</f>
        <v>2</v>
      </c>
      <c r="O50" s="40" t="str">
        <f>IFERROR(INDEX(Source!$A$2:$S$86,Source!$AA35,COLUMNS(Source!$X$2:AL35)),"")</f>
        <v>Oui</v>
      </c>
      <c r="P50" s="40" t="str">
        <f>IFERROR(INDEX(Source!$A$2:$S$86,Source!$AA35,COLUMNS(Source!$X$2:AM35)),"")</f>
        <v>17,5g</v>
      </c>
      <c r="Q50" s="40" t="str">
        <f>IFERROR(INDEX(Source!$A$2:$S$86,Source!$AA35,COLUMNS(Source!$X$2:AN35)),"")</f>
        <v>Non</v>
      </c>
      <c r="R50" s="40">
        <f>IFERROR(INDEX(Source!$A$2:$S$86,Source!$AA35,COLUMNS(Source!$X$2:AO35)),"")</f>
        <v>0</v>
      </c>
      <c r="S50" s="40" t="str">
        <f>IFERROR(INDEX(Source!$A$2:$S$86,Source!$AA35,COLUMNS(Source!$X$2:AP35)),"")</f>
        <v>2 ans</v>
      </c>
    </row>
    <row r="51" spans="1:19" x14ac:dyDescent="0.25">
      <c r="A51" s="8" t="str">
        <f>IFERROR(INDEX(Source!$A$2:$S$86,Source!$AA36,COLUMNS(Source!$X$2:X36)),"")</f>
        <v>JABRA</v>
      </c>
      <c r="B51" s="8" t="str">
        <f>IFERROR(INDEX(Source!$A$2:$S$86,Source!$AA36,COLUMNS(Source!$X$2:Y36)),"")</f>
        <v>STEALTH UC MS</v>
      </c>
      <c r="C51" s="8" t="str">
        <f>IFERROR(INDEX(Source!$A$2:$S$86,Source!$AA36,COLUMNS(Source!$X$2:Z36)),"")</f>
        <v>Sans Fil</v>
      </c>
      <c r="D51" s="8" t="str">
        <f>IFERROR(INDEX(Source!$A$2:$S$86,Source!$AA36,COLUMNS(Source!$X$2:AA36)),"")</f>
        <v>5578-230-309</v>
      </c>
      <c r="E51" s="18">
        <f>IFERROR(INDEX(Source!$A$2:$S$86,Source!$AA36,COLUMNS(Source!$X$2:AB36)),"")</f>
        <v>110</v>
      </c>
      <c r="F51" s="8" t="str">
        <f>IFERROR(INDEX(Source!$A$2:$S$86,Source!$AA36,COLUMNS(Source!$X$2:AC36)),"")</f>
        <v>GSM + PC</v>
      </c>
      <c r="G51" s="8" t="str">
        <f>IFERROR(INDEX(Source!$A$2:$S$86,Source!$AA36,COLUMNS(Source!$X$2:AD36)),"")</f>
        <v>Mono</v>
      </c>
      <c r="H51" s="8" t="str">
        <f>IFERROR(INDEX(Source!$A$2:$S$86,Source!$AA36,COLUMNS(Source!$X$2:AE36)),"")</f>
        <v>10m - 30m(PC)</v>
      </c>
      <c r="I51" s="8" t="str">
        <f>IFERROR(INDEX(Source!$A$2:$S$86,Source!$AA36,COLUMNS(Source!$X$2:AF36)),"")</f>
        <v>6h</v>
      </c>
      <c r="J51" s="40" t="str">
        <f>IFERROR(INDEX(Source!$A$2:$S$86,Source!$AA36,COLUMNS(Source!$X$2:AG36)),"")</f>
        <v>150h</v>
      </c>
      <c r="K51" s="40">
        <f>IFERROR(INDEX(Source!$A$2:$S$86,Source!$AA36,COLUMNS(Source!$X$2:AH36)),"")</f>
        <v>0</v>
      </c>
      <c r="L51" s="40">
        <f>IFERROR(INDEX(Source!$A$2:$S$86,Source!$AA36,COLUMNS(Source!$X$2:AI36)),"")</f>
        <v>0</v>
      </c>
      <c r="M51" s="40">
        <f>IFERROR(INDEX(Source!$A$2:$S$86,Source!$AA36,COLUMNS(Source!$X$2:AJ36)),"")</f>
        <v>0</v>
      </c>
      <c r="N51" s="40">
        <f>IFERROR(INDEX(Source!$A$2:$S$86,Source!$AA36,COLUMNS(Source!$X$2:AK36)),"")</f>
        <v>2</v>
      </c>
      <c r="O51" s="40" t="str">
        <f>IFERROR(INDEX(Source!$A$2:$S$86,Source!$AA36,COLUMNS(Source!$X$2:AL36)),"")</f>
        <v>Oui</v>
      </c>
      <c r="P51" s="40" t="str">
        <f>IFERROR(INDEX(Source!$A$2:$S$86,Source!$AA36,COLUMNS(Source!$X$2:AM36)),"")</f>
        <v>17,5g</v>
      </c>
      <c r="Q51" s="40" t="str">
        <f>IFERROR(INDEX(Source!$A$2:$S$86,Source!$AA36,COLUMNS(Source!$X$2:AN36)),"")</f>
        <v>Oui</v>
      </c>
      <c r="R51" s="40">
        <f>IFERROR(INDEX(Source!$A$2:$S$86,Source!$AA36,COLUMNS(Source!$X$2:AO36)),"")</f>
        <v>0</v>
      </c>
      <c r="S51" s="40" t="str">
        <f>IFERROR(INDEX(Source!$A$2:$S$86,Source!$AA36,COLUMNS(Source!$X$2:AP36)),"")</f>
        <v>2 ans</v>
      </c>
    </row>
    <row r="52" spans="1:19" x14ac:dyDescent="0.25">
      <c r="A52" s="8" t="str">
        <f>IFERROR(INDEX(Source!$A$2:$S$86,Source!$AA37,COLUMNS(Source!$X$2:X37)),"")</f>
        <v>JABRA</v>
      </c>
      <c r="B52" s="8" t="str">
        <f>IFERROR(INDEX(Source!$A$2:$S$86,Source!$AA37,COLUMNS(Source!$X$2:Y37)),"")</f>
        <v>MOTION UC</v>
      </c>
      <c r="C52" s="8" t="str">
        <f>IFERROR(INDEX(Source!$A$2:$S$86,Source!$AA37,COLUMNS(Source!$X$2:Z37)),"")</f>
        <v>Sans Fil</v>
      </c>
      <c r="D52" s="8" t="str">
        <f>IFERROR(INDEX(Source!$A$2:$S$86,Source!$AA37,COLUMNS(Source!$X$2:AA37)),"")</f>
        <v>6630-900-141</v>
      </c>
      <c r="E52" s="18">
        <f>IFERROR(INDEX(Source!$A$2:$S$86,Source!$AA37,COLUMNS(Source!$X$2:AB37)),"")</f>
        <v>160</v>
      </c>
      <c r="F52" s="8" t="str">
        <f>IFERROR(INDEX(Source!$A$2:$S$86,Source!$AA37,COLUMNS(Source!$X$2:AC37)),"")</f>
        <v>GSM + PC</v>
      </c>
      <c r="G52" s="8" t="str">
        <f>IFERROR(INDEX(Source!$A$2:$S$86,Source!$AA37,COLUMNS(Source!$X$2:AD37)),"")</f>
        <v>Mono</v>
      </c>
      <c r="H52" s="8" t="str">
        <f>IFERROR(INDEX(Source!$A$2:$S$86,Source!$AA37,COLUMNS(Source!$X$2:AE37)),"")</f>
        <v>10m - 50/120m(PC)</v>
      </c>
      <c r="I52" s="8" t="str">
        <f>IFERROR(INDEX(Source!$A$2:$S$86,Source!$AA37,COLUMNS(Source!$X$2:AF37)),"")</f>
        <v>6h</v>
      </c>
      <c r="J52" s="40" t="str">
        <f>IFERROR(INDEX(Source!$A$2:$S$86,Source!$AA37,COLUMNS(Source!$X$2:AG37)),"")</f>
        <v>360h</v>
      </c>
      <c r="K52" s="40">
        <f>IFERROR(INDEX(Source!$A$2:$S$86,Source!$AA37,COLUMNS(Source!$X$2:AH37)),"")</f>
        <v>0</v>
      </c>
      <c r="L52" s="40">
        <f>IFERROR(INDEX(Source!$A$2:$S$86,Source!$AA37,COLUMNS(Source!$X$2:AI37)),"")</f>
        <v>0</v>
      </c>
      <c r="M52" s="40">
        <f>IFERROR(INDEX(Source!$A$2:$S$86,Source!$AA37,COLUMNS(Source!$X$2:AJ37)),"")</f>
        <v>0</v>
      </c>
      <c r="N52" s="40">
        <f>IFERROR(INDEX(Source!$A$2:$S$86,Source!$AA37,COLUMNS(Source!$X$2:AK37)),"")</f>
        <v>2</v>
      </c>
      <c r="O52" s="40" t="str">
        <f>IFERROR(INDEX(Source!$A$2:$S$86,Source!$AA37,COLUMNS(Source!$X$2:AL37)),"")</f>
        <v>Oui</v>
      </c>
      <c r="P52" s="40" t="str">
        <f>IFERROR(INDEX(Source!$A$2:$S$86,Source!$AA37,COLUMNS(Source!$X$2:AM37)),"")</f>
        <v>17,5g</v>
      </c>
      <c r="Q52" s="40" t="str">
        <f>IFERROR(INDEX(Source!$A$2:$S$86,Source!$AA37,COLUMNS(Source!$X$2:AN37)),"")</f>
        <v>Non</v>
      </c>
      <c r="R52" s="40">
        <f>IFERROR(INDEX(Source!$A$2:$S$86,Source!$AA37,COLUMNS(Source!$X$2:AO37)),"")</f>
        <v>0</v>
      </c>
      <c r="S52" s="40" t="str">
        <f>IFERROR(INDEX(Source!$A$2:$S$86,Source!$AA37,COLUMNS(Source!$X$2:AP37)),"")</f>
        <v>2 ans</v>
      </c>
    </row>
    <row r="53" spans="1:19" x14ac:dyDescent="0.25">
      <c r="A53" s="8" t="str">
        <f>IFERROR(INDEX(Source!$A$2:$S$86,Source!$AA38,COLUMNS(Source!$X$2:X38)),"")</f>
        <v>JABRA</v>
      </c>
      <c r="B53" s="8" t="str">
        <f>IFERROR(INDEX(Source!$A$2:$S$86,Source!$AA38,COLUMNS(Source!$X$2:Y38)),"")</f>
        <v>MOTION UC MS</v>
      </c>
      <c r="C53" s="8" t="str">
        <f>IFERROR(INDEX(Source!$A$2:$S$86,Source!$AA38,COLUMNS(Source!$X$2:Z38)),"")</f>
        <v>Sans Fil</v>
      </c>
      <c r="D53" s="8" t="str">
        <f>IFERROR(INDEX(Source!$A$2:$S$86,Source!$AA38,COLUMNS(Source!$X$2:AA38)),"")</f>
        <v>6630-900-341</v>
      </c>
      <c r="E53" s="18">
        <f>IFERROR(INDEX(Source!$A$2:$S$86,Source!$AA38,COLUMNS(Source!$X$2:AB38)),"")</f>
        <v>160</v>
      </c>
      <c r="F53" s="8" t="str">
        <f>IFERROR(INDEX(Source!$A$2:$S$86,Source!$AA38,COLUMNS(Source!$X$2:AC38)),"")</f>
        <v>GSM + PC</v>
      </c>
      <c r="G53" s="8" t="str">
        <f>IFERROR(INDEX(Source!$A$2:$S$86,Source!$AA38,COLUMNS(Source!$X$2:AD38)),"")</f>
        <v>Mono</v>
      </c>
      <c r="H53" s="8" t="str">
        <f>IFERROR(INDEX(Source!$A$2:$S$86,Source!$AA38,COLUMNS(Source!$X$2:AE38)),"")</f>
        <v>10m - 50/120m(PC)</v>
      </c>
      <c r="I53" s="8" t="str">
        <f>IFERROR(INDEX(Source!$A$2:$S$86,Source!$AA38,COLUMNS(Source!$X$2:AF38)),"")</f>
        <v>6h</v>
      </c>
      <c r="J53" s="40" t="str">
        <f>IFERROR(INDEX(Source!$A$2:$S$86,Source!$AA38,COLUMNS(Source!$X$2:AG38)),"")</f>
        <v>360h</v>
      </c>
      <c r="K53" s="40">
        <f>IFERROR(INDEX(Source!$A$2:$S$86,Source!$AA38,COLUMNS(Source!$X$2:AH38)),"")</f>
        <v>0</v>
      </c>
      <c r="L53" s="40">
        <f>IFERROR(INDEX(Source!$A$2:$S$86,Source!$AA38,COLUMNS(Source!$X$2:AI38)),"")</f>
        <v>0</v>
      </c>
      <c r="M53" s="40">
        <f>IFERROR(INDEX(Source!$A$2:$S$86,Source!$AA38,COLUMNS(Source!$X$2:AJ38)),"")</f>
        <v>0</v>
      </c>
      <c r="N53" s="40">
        <f>IFERROR(INDEX(Source!$A$2:$S$86,Source!$AA38,COLUMNS(Source!$X$2:AK38)),"")</f>
        <v>2</v>
      </c>
      <c r="O53" s="40" t="str">
        <f>IFERROR(INDEX(Source!$A$2:$S$86,Source!$AA38,COLUMNS(Source!$X$2:AL38)),"")</f>
        <v>Oui</v>
      </c>
      <c r="P53" s="40" t="str">
        <f>IFERROR(INDEX(Source!$A$2:$S$86,Source!$AA38,COLUMNS(Source!$X$2:AM38)),"")</f>
        <v>17,5g</v>
      </c>
      <c r="Q53" s="40" t="str">
        <f>IFERROR(INDEX(Source!$A$2:$S$86,Source!$AA38,COLUMNS(Source!$X$2:AN38)),"")</f>
        <v>Oui</v>
      </c>
      <c r="R53" s="40">
        <f>IFERROR(INDEX(Source!$A$2:$S$86,Source!$AA38,COLUMNS(Source!$X$2:AO38)),"")</f>
        <v>0</v>
      </c>
      <c r="S53" s="40" t="str">
        <f>IFERROR(INDEX(Source!$A$2:$S$86,Source!$AA38,COLUMNS(Source!$X$2:AP38)),"")</f>
        <v>2 ans</v>
      </c>
    </row>
    <row r="54" spans="1:19" x14ac:dyDescent="0.25">
      <c r="A54" s="8" t="str">
        <f>IFERROR(INDEX(Source!$A$2:$S$86,Source!$AA39,COLUMNS(Source!$X$2:X39)),"")</f>
        <v>JABRA</v>
      </c>
      <c r="B54" s="8" t="str">
        <f>IFERROR(INDEX(Source!$A$2:$S$86,Source!$AA39,COLUMNS(Source!$X$2:Y39)),"")</f>
        <v>PRO 935</v>
      </c>
      <c r="C54" s="8" t="str">
        <f>IFERROR(INDEX(Source!$A$2:$S$86,Source!$AA39,COLUMNS(Source!$X$2:Z39)),"")</f>
        <v>Sans Fil</v>
      </c>
      <c r="D54" s="8" t="str">
        <f>IFERROR(INDEX(Source!$A$2:$S$86,Source!$AA39,COLUMNS(Source!$X$2:AA39)),"")</f>
        <v xml:space="preserve">935-15-509-201 </v>
      </c>
      <c r="E54" s="18">
        <f>IFERROR(INDEX(Source!$A$2:$S$86,Source!$AA39,COLUMNS(Source!$X$2:AB39)),"")</f>
        <v>259</v>
      </c>
      <c r="F54" s="8" t="str">
        <f>IFERROR(INDEX(Source!$A$2:$S$86,Source!$AA39,COLUMNS(Source!$X$2:AC39)),"")</f>
        <v>GSM + PC</v>
      </c>
      <c r="G54" s="8" t="str">
        <f>IFERROR(INDEX(Source!$A$2:$S$86,Source!$AA39,COLUMNS(Source!$X$2:AD39)),"")</f>
        <v>Mono</v>
      </c>
      <c r="H54" s="8" t="str">
        <f>IFERROR(INDEX(Source!$A$2:$S$86,Source!$AA39,COLUMNS(Source!$X$2:AE39)),"")</f>
        <v>100m</v>
      </c>
      <c r="I54" s="8" t="str">
        <f>IFERROR(INDEX(Source!$A$2:$S$86,Source!$AA39,COLUMNS(Source!$X$2:AF39)),"")</f>
        <v>10h</v>
      </c>
      <c r="J54" s="40" t="str">
        <f>IFERROR(INDEX(Source!$A$2:$S$86,Source!$AA39,COLUMNS(Source!$X$2:AG39)),"")</f>
        <v>150h</v>
      </c>
      <c r="K54" s="40">
        <f>IFERROR(INDEX(Source!$A$2:$S$86,Source!$AA39,COLUMNS(Source!$X$2:AH39)),"")</f>
        <v>0</v>
      </c>
      <c r="L54" s="40">
        <f>IFERROR(INDEX(Source!$A$2:$S$86,Source!$AA39,COLUMNS(Source!$X$2:AI39)),"")</f>
        <v>0</v>
      </c>
      <c r="M54" s="40">
        <f>IFERROR(INDEX(Source!$A$2:$S$86,Source!$AA39,COLUMNS(Source!$X$2:AJ39)),"")</f>
        <v>0</v>
      </c>
      <c r="N54" s="40">
        <f>IFERROR(INDEX(Source!$A$2:$S$86,Source!$AA39,COLUMNS(Source!$X$2:AK39)),"")</f>
        <v>0</v>
      </c>
      <c r="O54" s="40" t="str">
        <f>IFERROR(INDEX(Source!$A$2:$S$86,Source!$AA39,COLUMNS(Source!$X$2:AL39)),"")</f>
        <v>Non</v>
      </c>
      <c r="P54" s="40" t="str">
        <f>IFERROR(INDEX(Source!$A$2:$S$86,Source!$AA39,COLUMNS(Source!$X$2:AM39)),"")</f>
        <v>28g</v>
      </c>
      <c r="Q54" s="40" t="str">
        <f>IFERROR(INDEX(Source!$A$2:$S$86,Source!$AA39,COLUMNS(Source!$X$2:AN39)),"")</f>
        <v>Non</v>
      </c>
      <c r="R54" s="40">
        <f>IFERROR(INDEX(Source!$A$2:$S$86,Source!$AA39,COLUMNS(Source!$X$2:AO39)),"")</f>
        <v>0</v>
      </c>
      <c r="S54" s="40" t="str">
        <f>IFERROR(INDEX(Source!$A$2:$S$86,Source!$AA39,COLUMNS(Source!$X$2:AP39)),"")</f>
        <v>1 an</v>
      </c>
    </row>
    <row r="55" spans="1:19" x14ac:dyDescent="0.25">
      <c r="A55" s="8" t="str">
        <f>IFERROR(INDEX(Source!$A$2:$S$86,Source!$AA40,COLUMNS(Source!$X$2:X40)),"")</f>
        <v>JABRA</v>
      </c>
      <c r="B55" s="8" t="str">
        <f>IFERROR(INDEX(Source!$A$2:$S$86,Source!$AA40,COLUMNS(Source!$X$2:Y40)),"")</f>
        <v>PRO 935 MS</v>
      </c>
      <c r="C55" s="8" t="str">
        <f>IFERROR(INDEX(Source!$A$2:$S$86,Source!$AA40,COLUMNS(Source!$X$2:Z40)),"")</f>
        <v>Sans Fil</v>
      </c>
      <c r="D55" s="8" t="str">
        <f>IFERROR(INDEX(Source!$A$2:$S$86,Source!$AA40,COLUMNS(Source!$X$2:AA40)),"")</f>
        <v>935-15-503-201</v>
      </c>
      <c r="E55" s="18">
        <f>IFERROR(INDEX(Source!$A$2:$S$86,Source!$AA40,COLUMNS(Source!$X$2:AB40)),"")</f>
        <v>259</v>
      </c>
      <c r="F55" s="8" t="str">
        <f>IFERROR(INDEX(Source!$A$2:$S$86,Source!$AA40,COLUMNS(Source!$X$2:AC40)),"")</f>
        <v>GSM + PC</v>
      </c>
      <c r="G55" s="8" t="str">
        <f>IFERROR(INDEX(Source!$A$2:$S$86,Source!$AA40,COLUMNS(Source!$X$2:AD40)),"")</f>
        <v>Mono</v>
      </c>
      <c r="H55" s="8" t="str">
        <f>IFERROR(INDEX(Source!$A$2:$S$86,Source!$AA40,COLUMNS(Source!$X$2:AE40)),"")</f>
        <v>100m</v>
      </c>
      <c r="I55" s="8" t="str">
        <f>IFERROR(INDEX(Source!$A$2:$S$86,Source!$AA40,COLUMNS(Source!$X$2:AF40)),"")</f>
        <v>10h</v>
      </c>
      <c r="J55" s="40" t="str">
        <f>IFERROR(INDEX(Source!$A$2:$S$86,Source!$AA40,COLUMNS(Source!$X$2:AG40)),"")</f>
        <v>150h</v>
      </c>
      <c r="K55" s="40">
        <f>IFERROR(INDEX(Source!$A$2:$S$86,Source!$AA40,COLUMNS(Source!$X$2:AH40)),"")</f>
        <v>0</v>
      </c>
      <c r="L55" s="40">
        <f>IFERROR(INDEX(Source!$A$2:$S$86,Source!$AA40,COLUMNS(Source!$X$2:AI40)),"")</f>
        <v>0</v>
      </c>
      <c r="M55" s="40">
        <f>IFERROR(INDEX(Source!$A$2:$S$86,Source!$AA40,COLUMNS(Source!$X$2:AJ40)),"")</f>
        <v>0</v>
      </c>
      <c r="N55" s="40">
        <f>IFERROR(INDEX(Source!$A$2:$S$86,Source!$AA40,COLUMNS(Source!$X$2:AK40)),"")</f>
        <v>0</v>
      </c>
      <c r="O55" s="40" t="str">
        <f>IFERROR(INDEX(Source!$A$2:$S$86,Source!$AA40,COLUMNS(Source!$X$2:AL40)),"")</f>
        <v>Non</v>
      </c>
      <c r="P55" s="40" t="str">
        <f>IFERROR(INDEX(Source!$A$2:$S$86,Source!$AA40,COLUMNS(Source!$X$2:AM40)),"")</f>
        <v>28g</v>
      </c>
      <c r="Q55" s="40" t="str">
        <f>IFERROR(INDEX(Source!$A$2:$S$86,Source!$AA40,COLUMNS(Source!$X$2:AN40)),"")</f>
        <v>Oui</v>
      </c>
      <c r="R55" s="40">
        <f>IFERROR(INDEX(Source!$A$2:$S$86,Source!$AA40,COLUMNS(Source!$X$2:AO40)),"")</f>
        <v>0</v>
      </c>
      <c r="S55" s="40" t="str">
        <f>IFERROR(INDEX(Source!$A$2:$S$86,Source!$AA40,COLUMNS(Source!$X$2:AP40)),"")</f>
        <v>1 an</v>
      </c>
    </row>
    <row r="56" spans="1:19" x14ac:dyDescent="0.25">
      <c r="A56" s="8" t="str">
        <f>IFERROR(INDEX(Source!$A$2:$S$86,Source!$AA41,COLUMNS(Source!$X$2:X41)),"")</f>
        <v>JABRA</v>
      </c>
      <c r="B56" s="8" t="str">
        <f>IFERROR(INDEX(Source!$A$2:$S$86,Source!$AA41,COLUMNS(Source!$X$2:Y41)),"")</f>
        <v>EVOLVE 65 MONO</v>
      </c>
      <c r="C56" s="8" t="str">
        <f>IFERROR(INDEX(Source!$A$2:$S$86,Source!$AA41,COLUMNS(Source!$X$2:Z41)),"")</f>
        <v>Sans Fil</v>
      </c>
      <c r="D56" s="8" t="str">
        <f>IFERROR(INDEX(Source!$A$2:$S$86,Source!$AA41,COLUMNS(Source!$X$2:AA41)),"")</f>
        <v>6593-829-409</v>
      </c>
      <c r="E56" s="18">
        <f>IFERROR(INDEX(Source!$A$2:$S$86,Source!$AA41,COLUMNS(Source!$X$2:AB41)),"")</f>
        <v>155</v>
      </c>
      <c r="F56" s="8" t="str">
        <f>IFERROR(INDEX(Source!$A$2:$S$86,Source!$AA41,COLUMNS(Source!$X$2:AC41)),"")</f>
        <v>GSM + PC</v>
      </c>
      <c r="G56" s="8" t="str">
        <f>IFERROR(INDEX(Source!$A$2:$S$86,Source!$AA41,COLUMNS(Source!$X$2:AD41)),"")</f>
        <v>Mono</v>
      </c>
      <c r="H56" s="8" t="str">
        <f>IFERROR(INDEX(Source!$A$2:$S$86,Source!$AA41,COLUMNS(Source!$X$2:AE41)),"")</f>
        <v>30m</v>
      </c>
      <c r="I56" s="8" t="str">
        <f>IFERROR(INDEX(Source!$A$2:$S$86,Source!$AA41,COLUMNS(Source!$X$2:AF41)),"")</f>
        <v>10h</v>
      </c>
      <c r="J56" s="40" t="str">
        <f>IFERROR(INDEX(Source!$A$2:$S$86,Source!$AA41,COLUMNS(Source!$X$2:AG41)),"")</f>
        <v>15 jours</v>
      </c>
      <c r="K56" s="40">
        <f>IFERROR(INDEX(Source!$A$2:$S$86,Source!$AA41,COLUMNS(Source!$X$2:AH41)),"")</f>
        <v>0</v>
      </c>
      <c r="L56" s="40">
        <f>IFERROR(INDEX(Source!$A$2:$S$86,Source!$AA41,COLUMNS(Source!$X$2:AI41)),"")</f>
        <v>0</v>
      </c>
      <c r="M56" s="40">
        <f>IFERROR(INDEX(Source!$A$2:$S$86,Source!$AA41,COLUMNS(Source!$X$2:AJ41)),"")</f>
        <v>0</v>
      </c>
      <c r="N56" s="40">
        <f>IFERROR(INDEX(Source!$A$2:$S$86,Source!$AA41,COLUMNS(Source!$X$2:AK41)),"")</f>
        <v>1</v>
      </c>
      <c r="O56" s="40" t="str">
        <f>IFERROR(INDEX(Source!$A$2:$S$86,Source!$AA41,COLUMNS(Source!$X$2:AL41)),"")</f>
        <v>Oui</v>
      </c>
      <c r="P56" s="40" t="str">
        <f>IFERROR(INDEX(Source!$A$2:$S$86,Source!$AA41,COLUMNS(Source!$X$2:AM41)),"")</f>
        <v>79g</v>
      </c>
      <c r="Q56" s="40" t="str">
        <f>IFERROR(INDEX(Source!$A$2:$S$86,Source!$AA41,COLUMNS(Source!$X$2:AN41)),"")</f>
        <v>Non</v>
      </c>
      <c r="R56" s="40">
        <f>IFERROR(INDEX(Source!$A$2:$S$86,Source!$AA41,COLUMNS(Source!$X$2:AO41)),"")</f>
        <v>0</v>
      </c>
      <c r="S56" s="40" t="str">
        <f>IFERROR(INDEX(Source!$A$2:$S$86,Source!$AA41,COLUMNS(Source!$X$2:AP41)),"")</f>
        <v>2 ans</v>
      </c>
    </row>
    <row r="57" spans="1:19" x14ac:dyDescent="0.25">
      <c r="A57" s="8" t="str">
        <f>IFERROR(INDEX(Source!$A$2:$S$86,Source!$AA42,COLUMNS(Source!$X$2:X42)),"")</f>
        <v>JABRA</v>
      </c>
      <c r="B57" s="8" t="str">
        <f>IFERROR(INDEX(Source!$A$2:$S$86,Source!$AA42,COLUMNS(Source!$X$2:Y42)),"")</f>
        <v>EVOLVE 65 MONO MS</v>
      </c>
      <c r="C57" s="8" t="str">
        <f>IFERROR(INDEX(Source!$A$2:$S$86,Source!$AA42,COLUMNS(Source!$X$2:Z42)),"")</f>
        <v>Sans Fil</v>
      </c>
      <c r="D57" s="8" t="str">
        <f>IFERROR(INDEX(Source!$A$2:$S$86,Source!$AA42,COLUMNS(Source!$X$2:AA42)),"")</f>
        <v>6593-823-309</v>
      </c>
      <c r="E57" s="18">
        <f>IFERROR(INDEX(Source!$A$2:$S$86,Source!$AA42,COLUMNS(Source!$X$2:AB42)),"")</f>
        <v>155</v>
      </c>
      <c r="F57" s="8" t="str">
        <f>IFERROR(INDEX(Source!$A$2:$S$86,Source!$AA42,COLUMNS(Source!$X$2:AC42)),"")</f>
        <v>GSM + PC</v>
      </c>
      <c r="G57" s="8" t="str">
        <f>IFERROR(INDEX(Source!$A$2:$S$86,Source!$AA42,COLUMNS(Source!$X$2:AD42)),"")</f>
        <v>Mono</v>
      </c>
      <c r="H57" s="8" t="str">
        <f>IFERROR(INDEX(Source!$A$2:$S$86,Source!$AA42,COLUMNS(Source!$X$2:AE42)),"")</f>
        <v>30m</v>
      </c>
      <c r="I57" s="8" t="str">
        <f>IFERROR(INDEX(Source!$A$2:$S$86,Source!$AA42,COLUMNS(Source!$X$2:AF42)),"")</f>
        <v>10h</v>
      </c>
      <c r="J57" s="40" t="str">
        <f>IFERROR(INDEX(Source!$A$2:$S$86,Source!$AA42,COLUMNS(Source!$X$2:AG42)),"")</f>
        <v>15 jours</v>
      </c>
      <c r="K57" s="40">
        <f>IFERROR(INDEX(Source!$A$2:$S$86,Source!$AA42,COLUMNS(Source!$X$2:AH42)),"")</f>
        <v>0</v>
      </c>
      <c r="L57" s="40">
        <f>IFERROR(INDEX(Source!$A$2:$S$86,Source!$AA42,COLUMNS(Source!$X$2:AI42)),"")</f>
        <v>0</v>
      </c>
      <c r="M57" s="40">
        <f>IFERROR(INDEX(Source!$A$2:$S$86,Source!$AA42,COLUMNS(Source!$X$2:AJ42)),"")</f>
        <v>0</v>
      </c>
      <c r="N57" s="40">
        <f>IFERROR(INDEX(Source!$A$2:$S$86,Source!$AA42,COLUMNS(Source!$X$2:AK42)),"")</f>
        <v>1</v>
      </c>
      <c r="O57" s="40" t="str">
        <f>IFERROR(INDEX(Source!$A$2:$S$86,Source!$AA42,COLUMNS(Source!$X$2:AL42)),"")</f>
        <v>Oui</v>
      </c>
      <c r="P57" s="40" t="str">
        <f>IFERROR(INDEX(Source!$A$2:$S$86,Source!$AA42,COLUMNS(Source!$X$2:AM42)),"")</f>
        <v>79g</v>
      </c>
      <c r="Q57" s="40" t="str">
        <f>IFERROR(INDEX(Source!$A$2:$S$86,Source!$AA42,COLUMNS(Source!$X$2:AN42)),"")</f>
        <v>Oui</v>
      </c>
      <c r="R57" s="40">
        <f>IFERROR(INDEX(Source!$A$2:$S$86,Source!$AA42,COLUMNS(Source!$X$2:AO42)),"")</f>
        <v>0</v>
      </c>
      <c r="S57" s="40" t="str">
        <f>IFERROR(INDEX(Source!$A$2:$S$86,Source!$AA42,COLUMNS(Source!$X$2:AP42)),"")</f>
        <v>2 ans</v>
      </c>
    </row>
    <row r="58" spans="1:19" x14ac:dyDescent="0.25">
      <c r="A58" s="8" t="str">
        <f>IFERROR(INDEX(Source!$A$2:$S$86,Source!$AA43,COLUMNS(Source!$X$2:X43)),"")</f>
        <v>JABRA</v>
      </c>
      <c r="B58" s="8" t="str">
        <f>IFERROR(INDEX(Source!$A$2:$S$86,Source!$AA43,COLUMNS(Source!$X$2:Y43)),"")</f>
        <v>EVOLVE 65 BINO</v>
      </c>
      <c r="C58" s="8" t="str">
        <f>IFERROR(INDEX(Source!$A$2:$S$86,Source!$AA43,COLUMNS(Source!$X$2:Z43)),"")</f>
        <v>Sans Fil</v>
      </c>
      <c r="D58" s="8" t="str">
        <f>IFERROR(INDEX(Source!$A$2:$S$86,Source!$AA43,COLUMNS(Source!$X$2:AA43)),"")</f>
        <v>6599-829-409</v>
      </c>
      <c r="E58" s="18">
        <f>IFERROR(INDEX(Source!$A$2:$S$86,Source!$AA43,COLUMNS(Source!$X$2:AB43)),"")</f>
        <v>165</v>
      </c>
      <c r="F58" s="8" t="str">
        <f>IFERROR(INDEX(Source!$A$2:$S$86,Source!$AA43,COLUMNS(Source!$X$2:AC43)),"")</f>
        <v>GSM + PC</v>
      </c>
      <c r="G58" s="8" t="str">
        <f>IFERROR(INDEX(Source!$A$2:$S$86,Source!$AA43,COLUMNS(Source!$X$2:AD43)),"")</f>
        <v>Bino</v>
      </c>
      <c r="H58" s="8" t="str">
        <f>IFERROR(INDEX(Source!$A$2:$S$86,Source!$AA43,COLUMNS(Source!$X$2:AE43)),"")</f>
        <v>30m</v>
      </c>
      <c r="I58" s="8" t="str">
        <f>IFERROR(INDEX(Source!$A$2:$S$86,Source!$AA43,COLUMNS(Source!$X$2:AF43)),"")</f>
        <v>10h</v>
      </c>
      <c r="J58" s="40" t="str">
        <f>IFERROR(INDEX(Source!$A$2:$S$86,Source!$AA43,COLUMNS(Source!$X$2:AG43)),"")</f>
        <v>15 jours</v>
      </c>
      <c r="K58" s="40">
        <f>IFERROR(INDEX(Source!$A$2:$S$86,Source!$AA43,COLUMNS(Source!$X$2:AH43)),"")</f>
        <v>0</v>
      </c>
      <c r="L58" s="40">
        <f>IFERROR(INDEX(Source!$A$2:$S$86,Source!$AA43,COLUMNS(Source!$X$2:AI43)),"")</f>
        <v>0</v>
      </c>
      <c r="M58" s="40">
        <f>IFERROR(INDEX(Source!$A$2:$S$86,Source!$AA43,COLUMNS(Source!$X$2:AJ43)),"")</f>
        <v>0</v>
      </c>
      <c r="N58" s="40">
        <f>IFERROR(INDEX(Source!$A$2:$S$86,Source!$AA43,COLUMNS(Source!$X$2:AK43)),"")</f>
        <v>1</v>
      </c>
      <c r="O58" s="40" t="str">
        <f>IFERROR(INDEX(Source!$A$2:$S$86,Source!$AA43,COLUMNS(Source!$X$2:AL43)),"")</f>
        <v>Oui</v>
      </c>
      <c r="P58" s="40" t="str">
        <f>IFERROR(INDEX(Source!$A$2:$S$86,Source!$AA43,COLUMNS(Source!$X$2:AM43)),"")</f>
        <v>111g</v>
      </c>
      <c r="Q58" s="40" t="str">
        <f>IFERROR(INDEX(Source!$A$2:$S$86,Source!$AA43,COLUMNS(Source!$X$2:AN43)),"")</f>
        <v>Non</v>
      </c>
      <c r="R58" s="40">
        <f>IFERROR(INDEX(Source!$A$2:$S$86,Source!$AA43,COLUMNS(Source!$X$2:AO43)),"")</f>
        <v>0</v>
      </c>
      <c r="S58" s="40" t="str">
        <f>IFERROR(INDEX(Source!$A$2:$S$86,Source!$AA43,COLUMNS(Source!$X$2:AP43)),"")</f>
        <v>2 ans</v>
      </c>
    </row>
    <row r="59" spans="1:19" x14ac:dyDescent="0.25">
      <c r="A59" s="8" t="str">
        <f>IFERROR(INDEX(Source!$A$2:$S$86,Source!$AA44,COLUMNS(Source!$X$2:X44)),"")</f>
        <v>JABRA</v>
      </c>
      <c r="B59" s="8" t="str">
        <f>IFERROR(INDEX(Source!$A$2:$S$86,Source!$AA44,COLUMNS(Source!$X$2:Y44)),"")</f>
        <v>EVOLVE 65 BINO MS</v>
      </c>
      <c r="C59" s="8" t="str">
        <f>IFERROR(INDEX(Source!$A$2:$S$86,Source!$AA44,COLUMNS(Source!$X$2:Z44)),"")</f>
        <v>Sans Fil</v>
      </c>
      <c r="D59" s="8" t="str">
        <f>IFERROR(INDEX(Source!$A$2:$S$86,Source!$AA44,COLUMNS(Source!$X$2:AA44)),"")</f>
        <v>6599-823-309</v>
      </c>
      <c r="E59" s="18">
        <f>IFERROR(INDEX(Source!$A$2:$S$86,Source!$AA44,COLUMNS(Source!$X$2:AB44)),"")</f>
        <v>165</v>
      </c>
      <c r="F59" s="8" t="str">
        <f>IFERROR(INDEX(Source!$A$2:$S$86,Source!$AA44,COLUMNS(Source!$X$2:AC44)),"")</f>
        <v>GSM + PC</v>
      </c>
      <c r="G59" s="8" t="str">
        <f>IFERROR(INDEX(Source!$A$2:$S$86,Source!$AA44,COLUMNS(Source!$X$2:AD44)),"")</f>
        <v>Bino</v>
      </c>
      <c r="H59" s="8" t="str">
        <f>IFERROR(INDEX(Source!$A$2:$S$86,Source!$AA44,COLUMNS(Source!$X$2:AE44)),"")</f>
        <v>30m</v>
      </c>
      <c r="I59" s="8" t="str">
        <f>IFERROR(INDEX(Source!$A$2:$S$86,Source!$AA44,COLUMNS(Source!$X$2:AF44)),"")</f>
        <v>10h</v>
      </c>
      <c r="J59" s="40" t="str">
        <f>IFERROR(INDEX(Source!$A$2:$S$86,Source!$AA44,COLUMNS(Source!$X$2:AG44)),"")</f>
        <v>15 jours</v>
      </c>
      <c r="K59" s="40">
        <f>IFERROR(INDEX(Source!$A$2:$S$86,Source!$AA44,COLUMNS(Source!$X$2:AH44)),"")</f>
        <v>0</v>
      </c>
      <c r="L59" s="40">
        <f>IFERROR(INDEX(Source!$A$2:$S$86,Source!$AA44,COLUMNS(Source!$X$2:AI44)),"")</f>
        <v>0</v>
      </c>
      <c r="M59" s="40">
        <f>IFERROR(INDEX(Source!$A$2:$S$86,Source!$AA44,COLUMNS(Source!$X$2:AJ44)),"")</f>
        <v>0</v>
      </c>
      <c r="N59" s="40">
        <f>IFERROR(INDEX(Source!$A$2:$S$86,Source!$AA44,COLUMNS(Source!$X$2:AK44)),"")</f>
        <v>1</v>
      </c>
      <c r="O59" s="40" t="str">
        <f>IFERROR(INDEX(Source!$A$2:$S$86,Source!$AA44,COLUMNS(Source!$X$2:AL44)),"")</f>
        <v>Oui</v>
      </c>
      <c r="P59" s="40" t="str">
        <f>IFERROR(INDEX(Source!$A$2:$S$86,Source!$AA44,COLUMNS(Source!$X$2:AM44)),"")</f>
        <v>111g</v>
      </c>
      <c r="Q59" s="40" t="str">
        <f>IFERROR(INDEX(Source!$A$2:$S$86,Source!$AA44,COLUMNS(Source!$X$2:AN44)),"")</f>
        <v>Oui</v>
      </c>
      <c r="R59" s="40">
        <f>IFERROR(INDEX(Source!$A$2:$S$86,Source!$AA44,COLUMNS(Source!$X$2:AO44)),"")</f>
        <v>0</v>
      </c>
      <c r="S59" s="40" t="str">
        <f>IFERROR(INDEX(Source!$A$2:$S$86,Source!$AA44,COLUMNS(Source!$X$2:AP44)),"")</f>
        <v>2 ans</v>
      </c>
    </row>
    <row r="60" spans="1:19" x14ac:dyDescent="0.25">
      <c r="A60" s="8" t="str">
        <f>IFERROR(INDEX(Source!$A$2:$S$86,Source!$AA45,COLUMNS(Source!$X$2:X45)),"")</f>
        <v>PLANTRONICS</v>
      </c>
      <c r="B60" s="8" t="str">
        <f>IFERROR(INDEX(Source!$A$2:$S$86,Source!$AA45,COLUMNS(Source!$X$2:Y45)),"")</f>
        <v>Voyager Legend UC</v>
      </c>
      <c r="C60" s="8" t="str">
        <f>IFERROR(INDEX(Source!$A$2:$S$86,Source!$AA45,COLUMNS(Source!$X$2:Z45)),"")</f>
        <v>Sans Fil</v>
      </c>
      <c r="D60" s="8" t="str">
        <f>IFERROR(INDEX(Source!$A$2:$S$86,Source!$AA45,COLUMNS(Source!$X$2:AA45)),"")</f>
        <v>87670-02</v>
      </c>
      <c r="E60" s="18">
        <f>IFERROR(INDEX(Source!$A$2:$S$86,Source!$AA45,COLUMNS(Source!$X$2:AB45)),"")</f>
        <v>149</v>
      </c>
      <c r="F60" s="8" t="str">
        <f>IFERROR(INDEX(Source!$A$2:$S$86,Source!$AA45,COLUMNS(Source!$X$2:AC45)),"")</f>
        <v>GSM + PC</v>
      </c>
      <c r="G60" s="8" t="str">
        <f>IFERROR(INDEX(Source!$A$2:$S$86,Source!$AA45,COLUMNS(Source!$X$2:AD45)),"")</f>
        <v>Mono</v>
      </c>
      <c r="H60" s="8" t="str">
        <f>IFERROR(INDEX(Source!$A$2:$S$86,Source!$AA45,COLUMNS(Source!$X$2:AE45)),"")</f>
        <v>10m</v>
      </c>
      <c r="I60" s="8" t="str">
        <f>IFERROR(INDEX(Source!$A$2:$S$86,Source!$AA45,COLUMNS(Source!$X$2:AF45)),"")</f>
        <v>7h</v>
      </c>
      <c r="J60" s="40" t="str">
        <f>IFERROR(INDEX(Source!$A$2:$S$86,Source!$AA45,COLUMNS(Source!$X$2:AG45)),"")</f>
        <v>11 jours</v>
      </c>
      <c r="K60" s="40">
        <f>IFERROR(INDEX(Source!$A$2:$S$86,Source!$AA45,COLUMNS(Source!$X$2:AH45)),"")</f>
        <v>0</v>
      </c>
      <c r="L60" s="40">
        <f>IFERROR(INDEX(Source!$A$2:$S$86,Source!$AA45,COLUMNS(Source!$X$2:AI45)),"")</f>
        <v>0</v>
      </c>
      <c r="M60" s="40">
        <f>IFERROR(INDEX(Source!$A$2:$S$86,Source!$AA45,COLUMNS(Source!$X$2:AJ45)),"")</f>
        <v>0</v>
      </c>
      <c r="N60" s="40">
        <f>IFERROR(INDEX(Source!$A$2:$S$86,Source!$AA45,COLUMNS(Source!$X$2:AK45)),"")</f>
        <v>3</v>
      </c>
      <c r="O60" s="40" t="str">
        <f>IFERROR(INDEX(Source!$A$2:$S$86,Source!$AA45,COLUMNS(Source!$X$2:AL45)),"")</f>
        <v>Non</v>
      </c>
      <c r="P60" s="40" t="str">
        <f>IFERROR(INDEX(Source!$A$2:$S$86,Source!$AA45,COLUMNS(Source!$X$2:AM45)),"")</f>
        <v>18g</v>
      </c>
      <c r="Q60" s="40" t="str">
        <f>IFERROR(INDEX(Source!$A$2:$S$86,Source!$AA45,COLUMNS(Source!$X$2:AN45)),"")</f>
        <v>Non</v>
      </c>
      <c r="R60" s="40">
        <f>IFERROR(INDEX(Source!$A$2:$S$86,Source!$AA45,COLUMNS(Source!$X$2:AO45)),"")</f>
        <v>0</v>
      </c>
      <c r="S60" s="40" t="str">
        <f>IFERROR(INDEX(Source!$A$2:$S$86,Source!$AA45,COLUMNS(Source!$X$2:AP45)),"")</f>
        <v>2 ans</v>
      </c>
    </row>
    <row r="61" spans="1:19" x14ac:dyDescent="0.25">
      <c r="A61" s="8" t="str">
        <f>IFERROR(INDEX(Source!$A$2:$S$86,Source!$AA46,COLUMNS(Source!$X$2:X46)),"")</f>
        <v>PLANTRONICS</v>
      </c>
      <c r="B61" s="8" t="str">
        <f>IFERROR(INDEX(Source!$A$2:$S$86,Source!$AA46,COLUMNS(Source!$X$2:Y46)),"")</f>
        <v>Voyager Legend UC - M</v>
      </c>
      <c r="C61" s="8" t="str">
        <f>IFERROR(INDEX(Source!$A$2:$S$86,Source!$AA46,COLUMNS(Source!$X$2:Z46)),"")</f>
        <v>Sans Fil</v>
      </c>
      <c r="D61" s="8" t="str">
        <f>IFERROR(INDEX(Source!$A$2:$S$86,Source!$AA46,COLUMNS(Source!$X$2:AA46)),"")</f>
        <v>87680-02</v>
      </c>
      <c r="E61" s="18">
        <f>IFERROR(INDEX(Source!$A$2:$S$86,Source!$AA46,COLUMNS(Source!$X$2:AB46)),"")</f>
        <v>149</v>
      </c>
      <c r="F61" s="8" t="str">
        <f>IFERROR(INDEX(Source!$A$2:$S$86,Source!$AA46,COLUMNS(Source!$X$2:AC46)),"")</f>
        <v>GSM + PC</v>
      </c>
      <c r="G61" s="8" t="str">
        <f>IFERROR(INDEX(Source!$A$2:$S$86,Source!$AA46,COLUMNS(Source!$X$2:AD46)),"")</f>
        <v>Mono</v>
      </c>
      <c r="H61" s="8" t="str">
        <f>IFERROR(INDEX(Source!$A$2:$S$86,Source!$AA46,COLUMNS(Source!$X$2:AE46)),"")</f>
        <v>10m</v>
      </c>
      <c r="I61" s="8" t="str">
        <f>IFERROR(INDEX(Source!$A$2:$S$86,Source!$AA46,COLUMNS(Source!$X$2:AF46)),"")</f>
        <v>7h</v>
      </c>
      <c r="J61" s="40" t="str">
        <f>IFERROR(INDEX(Source!$A$2:$S$86,Source!$AA46,COLUMNS(Source!$X$2:AG46)),"")</f>
        <v>11 jours</v>
      </c>
      <c r="K61" s="40">
        <f>IFERROR(INDEX(Source!$A$2:$S$86,Source!$AA46,COLUMNS(Source!$X$2:AH46)),"")</f>
        <v>0</v>
      </c>
      <c r="L61" s="40">
        <f>IFERROR(INDEX(Source!$A$2:$S$86,Source!$AA46,COLUMNS(Source!$X$2:AI46)),"")</f>
        <v>0</v>
      </c>
      <c r="M61" s="40">
        <f>IFERROR(INDEX(Source!$A$2:$S$86,Source!$AA46,COLUMNS(Source!$X$2:AJ46)),"")</f>
        <v>0</v>
      </c>
      <c r="N61" s="40">
        <f>IFERROR(INDEX(Source!$A$2:$S$86,Source!$AA46,COLUMNS(Source!$X$2:AK46)),"")</f>
        <v>3</v>
      </c>
      <c r="O61" s="40" t="str">
        <f>IFERROR(INDEX(Source!$A$2:$S$86,Source!$AA46,COLUMNS(Source!$X$2:AL46)),"")</f>
        <v>Oui</v>
      </c>
      <c r="P61" s="40" t="str">
        <f>IFERROR(INDEX(Source!$A$2:$S$86,Source!$AA46,COLUMNS(Source!$X$2:AM46)),"")</f>
        <v>18g</v>
      </c>
      <c r="Q61" s="40" t="str">
        <f>IFERROR(INDEX(Source!$A$2:$S$86,Source!$AA46,COLUMNS(Source!$X$2:AN46)),"")</f>
        <v>Oui</v>
      </c>
      <c r="R61" s="40">
        <f>IFERROR(INDEX(Source!$A$2:$S$86,Source!$AA46,COLUMNS(Source!$X$2:AO46)),"")</f>
        <v>0</v>
      </c>
      <c r="S61" s="40" t="str">
        <f>IFERROR(INDEX(Source!$A$2:$S$86,Source!$AA46,COLUMNS(Source!$X$2:AP46)),"")</f>
        <v>2 ans</v>
      </c>
    </row>
    <row r="62" spans="1:19" x14ac:dyDescent="0.25">
      <c r="A62" s="8" t="str">
        <f>IFERROR(INDEX(Source!$A$2:$S$86,Source!$AA47,COLUMNS(Source!$X$2:X47)),"")</f>
        <v>PLANTRONICS</v>
      </c>
      <c r="B62" s="8" t="str">
        <f>IFERROR(INDEX(Source!$A$2:$S$86,Source!$AA47,COLUMNS(Source!$X$2:Y47)),"")</f>
        <v>Voyager EDGE UC</v>
      </c>
      <c r="C62" s="8" t="str">
        <f>IFERROR(INDEX(Source!$A$2:$S$86,Source!$AA47,COLUMNS(Source!$X$2:Z47)),"")</f>
        <v>Sans Fil</v>
      </c>
      <c r="D62" s="8" t="str">
        <f>IFERROR(INDEX(Source!$A$2:$S$86,Source!$AA47,COLUMNS(Source!$X$2:AA47)),"")</f>
        <v>202310-02</v>
      </c>
      <c r="E62" s="18">
        <f>IFERROR(INDEX(Source!$A$2:$S$86,Source!$AA47,COLUMNS(Source!$X$2:AB47)),"")</f>
        <v>149</v>
      </c>
      <c r="F62" s="8" t="str">
        <f>IFERROR(INDEX(Source!$A$2:$S$86,Source!$AA47,COLUMNS(Source!$X$2:AC47)),"")</f>
        <v>GSM + PC</v>
      </c>
      <c r="G62" s="8" t="str">
        <f>IFERROR(INDEX(Source!$A$2:$S$86,Source!$AA47,COLUMNS(Source!$X$2:AD47)),"")</f>
        <v>Mono</v>
      </c>
      <c r="H62" s="8" t="str">
        <f>IFERROR(INDEX(Source!$A$2:$S$86,Source!$AA47,COLUMNS(Source!$X$2:AE47)),"")</f>
        <v>10m - 50m</v>
      </c>
      <c r="I62" s="8" t="str">
        <f>IFERROR(INDEX(Source!$A$2:$S$86,Source!$AA47,COLUMNS(Source!$X$2:AF47)),"")</f>
        <v>7h</v>
      </c>
      <c r="J62" s="40" t="str">
        <f>IFERROR(INDEX(Source!$A$2:$S$86,Source!$AA47,COLUMNS(Source!$X$2:AG47)),"")</f>
        <v>7 jours</v>
      </c>
      <c r="K62" s="40">
        <f>IFERROR(INDEX(Source!$A$2:$S$86,Source!$AA47,COLUMNS(Source!$X$2:AH47)),"")</f>
        <v>0</v>
      </c>
      <c r="L62" s="40">
        <f>IFERROR(INDEX(Source!$A$2:$S$86,Source!$AA47,COLUMNS(Source!$X$2:AI47)),"")</f>
        <v>0</v>
      </c>
      <c r="M62" s="40">
        <f>IFERROR(INDEX(Source!$A$2:$S$86,Source!$AA47,COLUMNS(Source!$X$2:AJ47)),"")</f>
        <v>0</v>
      </c>
      <c r="N62" s="40">
        <f>IFERROR(INDEX(Source!$A$2:$S$86,Source!$AA47,COLUMNS(Source!$X$2:AK47)),"")</f>
        <v>3</v>
      </c>
      <c r="O62" s="40" t="str">
        <f>IFERROR(INDEX(Source!$A$2:$S$86,Source!$AA47,COLUMNS(Source!$X$2:AL47)),"")</f>
        <v>Non</v>
      </c>
      <c r="P62" s="40" t="str">
        <f>IFERROR(INDEX(Source!$A$2:$S$86,Source!$AA47,COLUMNS(Source!$X$2:AM47)),"")</f>
        <v>9g</v>
      </c>
      <c r="Q62" s="40" t="str">
        <f>IFERROR(INDEX(Source!$A$2:$S$86,Source!$AA47,COLUMNS(Source!$X$2:AN47)),"")</f>
        <v>Non</v>
      </c>
      <c r="R62" s="40">
        <f>IFERROR(INDEX(Source!$A$2:$S$86,Source!$AA47,COLUMNS(Source!$X$2:AO47)),"")</f>
        <v>0</v>
      </c>
      <c r="S62" s="40" t="str">
        <f>IFERROR(INDEX(Source!$A$2:$S$86,Source!$AA47,COLUMNS(Source!$X$2:AP47)),"")</f>
        <v>2 ans</v>
      </c>
    </row>
    <row r="63" spans="1:19" x14ac:dyDescent="0.25">
      <c r="A63" s="8" t="str">
        <f>IFERROR(INDEX(Source!$A$2:$S$86,Source!$AA48,COLUMNS(Source!$X$2:X48)),"")</f>
        <v>PLANTRONICS</v>
      </c>
      <c r="B63" s="8" t="str">
        <f>IFERROR(INDEX(Source!$A$2:$S$86,Source!$AA48,COLUMNS(Source!$X$2:Y48)),"")</f>
        <v>Voyager EDGE UC MS</v>
      </c>
      <c r="C63" s="8" t="str">
        <f>IFERROR(INDEX(Source!$A$2:$S$86,Source!$AA48,COLUMNS(Source!$X$2:Z48)),"")</f>
        <v>Sans Fil</v>
      </c>
      <c r="D63" s="8" t="str">
        <f>IFERROR(INDEX(Source!$A$2:$S$86,Source!$AA48,COLUMNS(Source!$X$2:AA48)),"")</f>
        <v>202320-02</v>
      </c>
      <c r="E63" s="18">
        <f>IFERROR(INDEX(Source!$A$2:$S$86,Source!$AA48,COLUMNS(Source!$X$2:AB48)),"")</f>
        <v>149</v>
      </c>
      <c r="F63" s="8" t="str">
        <f>IFERROR(INDEX(Source!$A$2:$S$86,Source!$AA48,COLUMNS(Source!$X$2:AC48)),"")</f>
        <v>GSM + PC</v>
      </c>
      <c r="G63" s="8" t="str">
        <f>IFERROR(INDEX(Source!$A$2:$S$86,Source!$AA48,COLUMNS(Source!$X$2:AD48)),"")</f>
        <v>Mono</v>
      </c>
      <c r="H63" s="8" t="str">
        <f>IFERROR(INDEX(Source!$A$2:$S$86,Source!$AA48,COLUMNS(Source!$X$2:AE48)),"")</f>
        <v>10m - 50m</v>
      </c>
      <c r="I63" s="8" t="str">
        <f>IFERROR(INDEX(Source!$A$2:$S$86,Source!$AA48,COLUMNS(Source!$X$2:AF48)),"")</f>
        <v>7h</v>
      </c>
      <c r="J63" s="40" t="str">
        <f>IFERROR(INDEX(Source!$A$2:$S$86,Source!$AA48,COLUMNS(Source!$X$2:AG48)),"")</f>
        <v>7 jours</v>
      </c>
      <c r="K63" s="40">
        <f>IFERROR(INDEX(Source!$A$2:$S$86,Source!$AA48,COLUMNS(Source!$X$2:AH48)),"")</f>
        <v>0</v>
      </c>
      <c r="L63" s="40">
        <f>IFERROR(INDEX(Source!$A$2:$S$86,Source!$AA48,COLUMNS(Source!$X$2:AI48)),"")</f>
        <v>0</v>
      </c>
      <c r="M63" s="40">
        <f>IFERROR(INDEX(Source!$A$2:$S$86,Source!$AA48,COLUMNS(Source!$X$2:AJ48)),"")</f>
        <v>0</v>
      </c>
      <c r="N63" s="40">
        <f>IFERROR(INDEX(Source!$A$2:$S$86,Source!$AA48,COLUMNS(Source!$X$2:AK48)),"")</f>
        <v>3</v>
      </c>
      <c r="O63" s="40" t="str">
        <f>IFERROR(INDEX(Source!$A$2:$S$86,Source!$AA48,COLUMNS(Source!$X$2:AL48)),"")</f>
        <v>Oui</v>
      </c>
      <c r="P63" s="40" t="str">
        <f>IFERROR(INDEX(Source!$A$2:$S$86,Source!$AA48,COLUMNS(Source!$X$2:AM48)),"")</f>
        <v>9g</v>
      </c>
      <c r="Q63" s="40" t="str">
        <f>IFERROR(INDEX(Source!$A$2:$S$86,Source!$AA48,COLUMNS(Source!$X$2:AN48)),"")</f>
        <v>Oui</v>
      </c>
      <c r="R63" s="40">
        <f>IFERROR(INDEX(Source!$A$2:$S$86,Source!$AA48,COLUMNS(Source!$X$2:AO48)),"")</f>
        <v>0</v>
      </c>
      <c r="S63" s="40" t="str">
        <f>IFERROR(INDEX(Source!$A$2:$S$86,Source!$AA48,COLUMNS(Source!$X$2:AP48)),"")</f>
        <v>2 ans</v>
      </c>
    </row>
    <row r="64" spans="1:19" x14ac:dyDescent="0.25">
      <c r="A64" s="8" t="str">
        <f>IFERROR(INDEX(Source!$A$2:$S$86,Source!$AA49,COLUMNS(Source!$X$2:X49)),"")</f>
        <v>PLANTRONICS</v>
      </c>
      <c r="B64" s="8" t="str">
        <f>IFERROR(INDEX(Source!$A$2:$S$86,Source!$AA49,COLUMNS(Source!$X$2:Y49)),"")</f>
        <v>Voyager 5200 UC</v>
      </c>
      <c r="C64" s="8" t="str">
        <f>IFERROR(INDEX(Source!$A$2:$S$86,Source!$AA49,COLUMNS(Source!$X$2:Z49)),"")</f>
        <v>Sans Fil</v>
      </c>
      <c r="D64" s="8" t="str">
        <f>IFERROR(INDEX(Source!$A$2:$S$86,Source!$AA49,COLUMNS(Source!$X$2:AA49)),"")</f>
        <v>206110-01</v>
      </c>
      <c r="E64" s="18">
        <f>IFERROR(INDEX(Source!$A$2:$S$86,Source!$AA49,COLUMNS(Source!$X$2:AB49)),"")</f>
        <v>169</v>
      </c>
      <c r="F64" s="8" t="str">
        <f>IFERROR(INDEX(Source!$A$2:$S$86,Source!$AA49,COLUMNS(Source!$X$2:AC49)),"")</f>
        <v>GSM + PC</v>
      </c>
      <c r="G64" s="8" t="str">
        <f>IFERROR(INDEX(Source!$A$2:$S$86,Source!$AA49,COLUMNS(Source!$X$2:AD49)),"")</f>
        <v>Mono</v>
      </c>
      <c r="H64" s="8" t="str">
        <f>IFERROR(INDEX(Source!$A$2:$S$86,Source!$AA49,COLUMNS(Source!$X$2:AE49)),"")</f>
        <v>10m - 50m</v>
      </c>
      <c r="I64" s="8" t="str">
        <f>IFERROR(INDEX(Source!$A$2:$S$86,Source!$AA49,COLUMNS(Source!$X$2:AF49)),"")</f>
        <v>7h</v>
      </c>
      <c r="J64" s="40" t="str">
        <f>IFERROR(INDEX(Source!$A$2:$S$86,Source!$AA49,COLUMNS(Source!$X$2:AG49)),"")</f>
        <v>7 jours</v>
      </c>
      <c r="K64" s="40">
        <f>IFERROR(INDEX(Source!$A$2:$S$86,Source!$AA49,COLUMNS(Source!$X$2:AH49)),"")</f>
        <v>0</v>
      </c>
      <c r="L64" s="40">
        <f>IFERROR(INDEX(Source!$A$2:$S$86,Source!$AA49,COLUMNS(Source!$X$2:AI49)),"")</f>
        <v>0</v>
      </c>
      <c r="M64" s="40">
        <f>IFERROR(INDEX(Source!$A$2:$S$86,Source!$AA49,COLUMNS(Source!$X$2:AJ49)),"")</f>
        <v>0</v>
      </c>
      <c r="N64" s="40">
        <f>IFERROR(INDEX(Source!$A$2:$S$86,Source!$AA49,COLUMNS(Source!$X$2:AK49)),"")</f>
        <v>4</v>
      </c>
      <c r="O64" s="40" t="str">
        <f>IFERROR(INDEX(Source!$A$2:$S$86,Source!$AA49,COLUMNS(Source!$X$2:AL49)),"")</f>
        <v>Oui</v>
      </c>
      <c r="P64" s="40" t="str">
        <f>IFERROR(INDEX(Source!$A$2:$S$86,Source!$AA49,COLUMNS(Source!$X$2:AM49)),"")</f>
        <v>20g</v>
      </c>
      <c r="Q64" s="40" t="str">
        <f>IFERROR(INDEX(Source!$A$2:$S$86,Source!$AA49,COLUMNS(Source!$X$2:AN49)),"")</f>
        <v>Oui</v>
      </c>
      <c r="R64" s="40">
        <f>IFERROR(INDEX(Source!$A$2:$S$86,Source!$AA49,COLUMNS(Source!$X$2:AO49)),"")</f>
        <v>0</v>
      </c>
      <c r="S64" s="40" t="str">
        <f>IFERROR(INDEX(Source!$A$2:$S$86,Source!$AA49,COLUMNS(Source!$X$2:AP49)),"")</f>
        <v>2 ans</v>
      </c>
    </row>
    <row r="65" spans="1:19" x14ac:dyDescent="0.25">
      <c r="A65" s="8" t="str">
        <f>IFERROR(INDEX(Source!$A$2:$S$86,Source!$AA50,COLUMNS(Source!$X$2:X50)),"")</f>
        <v>PLANTRONICS</v>
      </c>
      <c r="B65" s="8" t="str">
        <f>IFERROR(INDEX(Source!$A$2:$S$86,Source!$AA50,COLUMNS(Source!$X$2:Y50)),"")</f>
        <v>Voyager Focus UC (sans socle)</v>
      </c>
      <c r="C65" s="8" t="str">
        <f>IFERROR(INDEX(Source!$A$2:$S$86,Source!$AA50,COLUMNS(Source!$X$2:Z50)),"")</f>
        <v>Sans Fil</v>
      </c>
      <c r="D65" s="8" t="str">
        <f>IFERROR(INDEX(Source!$A$2:$S$86,Source!$AA50,COLUMNS(Source!$X$2:AA50)),"")</f>
        <v>202652-03</v>
      </c>
      <c r="E65" s="18">
        <f>IFERROR(INDEX(Source!$A$2:$S$86,Source!$AA50,COLUMNS(Source!$X$2:AB50)),"")</f>
        <v>249</v>
      </c>
      <c r="F65" s="8" t="str">
        <f>IFERROR(INDEX(Source!$A$2:$S$86,Source!$AA50,COLUMNS(Source!$X$2:AC50)),"")</f>
        <v>GSM + PC</v>
      </c>
      <c r="G65" s="8" t="str">
        <f>IFERROR(INDEX(Source!$A$2:$S$86,Source!$AA50,COLUMNS(Source!$X$2:AD50)),"")</f>
        <v>Bino</v>
      </c>
      <c r="H65" s="8" t="str">
        <f>IFERROR(INDEX(Source!$A$2:$S$86,Source!$AA50,COLUMNS(Source!$X$2:AE50)),"")</f>
        <v>45m</v>
      </c>
      <c r="I65" s="8" t="str">
        <f>IFERROR(INDEX(Source!$A$2:$S$86,Source!$AA50,COLUMNS(Source!$X$2:AF50)),"")</f>
        <v>12h</v>
      </c>
      <c r="J65" s="40" t="str">
        <f>IFERROR(INDEX(Source!$A$2:$S$86,Source!$AA50,COLUMNS(Source!$X$2:AG50)),"")</f>
        <v>15h</v>
      </c>
      <c r="K65" s="40">
        <f>IFERROR(INDEX(Source!$A$2:$S$86,Source!$AA50,COLUMNS(Source!$X$2:AH50)),"")</f>
        <v>0</v>
      </c>
      <c r="L65" s="40">
        <f>IFERROR(INDEX(Source!$A$2:$S$86,Source!$AA50,COLUMNS(Source!$X$2:AI50)),"")</f>
        <v>0</v>
      </c>
      <c r="M65" s="40">
        <f>IFERROR(INDEX(Source!$A$2:$S$86,Source!$AA50,COLUMNS(Source!$X$2:AJ50)),"")</f>
        <v>0</v>
      </c>
      <c r="N65" s="40">
        <f>IFERROR(INDEX(Source!$A$2:$S$86,Source!$AA50,COLUMNS(Source!$X$2:AK50)),"")</f>
        <v>3</v>
      </c>
      <c r="O65" s="40" t="str">
        <f>IFERROR(INDEX(Source!$A$2:$S$86,Source!$AA50,COLUMNS(Source!$X$2:AL50)),"")</f>
        <v>Non</v>
      </c>
      <c r="P65" s="40" t="str">
        <f>IFERROR(INDEX(Source!$A$2:$S$86,Source!$AA50,COLUMNS(Source!$X$2:AM50)),"")</f>
        <v>155g</v>
      </c>
      <c r="Q65" s="40" t="str">
        <f>IFERROR(INDEX(Source!$A$2:$S$86,Source!$AA50,COLUMNS(Source!$X$2:AN50)),"")</f>
        <v>Non</v>
      </c>
      <c r="R65" s="40">
        <f>IFERROR(INDEX(Source!$A$2:$S$86,Source!$AA50,COLUMNS(Source!$X$2:AO50)),"")</f>
        <v>0</v>
      </c>
      <c r="S65" s="40" t="str">
        <f>IFERROR(INDEX(Source!$A$2:$S$86,Source!$AA50,COLUMNS(Source!$X$2:AP50)),"")</f>
        <v>2 ans</v>
      </c>
    </row>
    <row r="66" spans="1:19" x14ac:dyDescent="0.25">
      <c r="A66" s="8" t="str">
        <f>IFERROR(INDEX(Source!$A$2:$S$86,Source!$AA51,COLUMNS(Source!$X$2:X51)),"")</f>
        <v>PLANTRONICS</v>
      </c>
      <c r="B66" s="8" t="str">
        <f>IFERROR(INDEX(Source!$A$2:$S$86,Source!$AA51,COLUMNS(Source!$X$2:Y51)),"")</f>
        <v>Voyager Focus UC</v>
      </c>
      <c r="C66" s="8" t="str">
        <f>IFERROR(INDEX(Source!$A$2:$S$86,Source!$AA51,COLUMNS(Source!$X$2:Z51)),"")</f>
        <v>Sans Fil</v>
      </c>
      <c r="D66" s="8" t="str">
        <f>IFERROR(INDEX(Source!$A$2:$S$86,Source!$AA51,COLUMNS(Source!$X$2:AA51)),"")</f>
        <v>202652-01</v>
      </c>
      <c r="E66" s="18">
        <f>IFERROR(INDEX(Source!$A$2:$S$86,Source!$AA51,COLUMNS(Source!$X$2:AB51)),"")</f>
        <v>299</v>
      </c>
      <c r="F66" s="8" t="str">
        <f>IFERROR(INDEX(Source!$A$2:$S$86,Source!$AA51,COLUMNS(Source!$X$2:AC51)),"")</f>
        <v>GSM + PC</v>
      </c>
      <c r="G66" s="8" t="str">
        <f>IFERROR(INDEX(Source!$A$2:$S$86,Source!$AA51,COLUMNS(Source!$X$2:AD51)),"")</f>
        <v>Bino</v>
      </c>
      <c r="H66" s="8" t="str">
        <f>IFERROR(INDEX(Source!$A$2:$S$86,Source!$AA51,COLUMNS(Source!$X$2:AE51)),"")</f>
        <v>45m</v>
      </c>
      <c r="I66" s="8" t="str">
        <f>IFERROR(INDEX(Source!$A$2:$S$86,Source!$AA51,COLUMNS(Source!$X$2:AF51)),"")</f>
        <v>12h</v>
      </c>
      <c r="J66" s="40" t="str">
        <f>IFERROR(INDEX(Source!$A$2:$S$86,Source!$AA51,COLUMNS(Source!$X$2:AG51)),"")</f>
        <v>15h</v>
      </c>
      <c r="K66" s="40">
        <f>IFERROR(INDEX(Source!$A$2:$S$86,Source!$AA51,COLUMNS(Source!$X$2:AH51)),"")</f>
        <v>0</v>
      </c>
      <c r="L66" s="40">
        <f>IFERROR(INDEX(Source!$A$2:$S$86,Source!$AA51,COLUMNS(Source!$X$2:AI51)),"")</f>
        <v>0</v>
      </c>
      <c r="M66" s="40">
        <f>IFERROR(INDEX(Source!$A$2:$S$86,Source!$AA51,COLUMNS(Source!$X$2:AJ51)),"")</f>
        <v>0</v>
      </c>
      <c r="N66" s="40">
        <f>IFERROR(INDEX(Source!$A$2:$S$86,Source!$AA51,COLUMNS(Source!$X$2:AK51)),"")</f>
        <v>3</v>
      </c>
      <c r="O66" s="40" t="str">
        <f>IFERROR(INDEX(Source!$A$2:$S$86,Source!$AA51,COLUMNS(Source!$X$2:AL51)),"")</f>
        <v>Non</v>
      </c>
      <c r="P66" s="40" t="str">
        <f>IFERROR(INDEX(Source!$A$2:$S$86,Source!$AA51,COLUMNS(Source!$X$2:AM51)),"")</f>
        <v>155g</v>
      </c>
      <c r="Q66" s="40" t="str">
        <f>IFERROR(INDEX(Source!$A$2:$S$86,Source!$AA51,COLUMNS(Source!$X$2:AN51)),"")</f>
        <v>Non</v>
      </c>
      <c r="R66" s="40">
        <f>IFERROR(INDEX(Source!$A$2:$S$86,Source!$AA51,COLUMNS(Source!$X$2:AO51)),"")</f>
        <v>0</v>
      </c>
      <c r="S66" s="40" t="str">
        <f>IFERROR(INDEX(Source!$A$2:$S$86,Source!$AA51,COLUMNS(Source!$X$2:AP51)),"")</f>
        <v>2 ans</v>
      </c>
    </row>
    <row r="67" spans="1:19" x14ac:dyDescent="0.25">
      <c r="A67" s="8" t="str">
        <f>IFERROR(INDEX(Source!$A$2:$S$86,Source!$AA52,COLUMNS(Source!$X$2:X52)),"")</f>
        <v>PLANTRONICS</v>
      </c>
      <c r="B67" s="8" t="str">
        <f>IFERROR(INDEX(Source!$A$2:$S$86,Source!$AA52,COLUMNS(Source!$X$2:Y52)),"")</f>
        <v>Voyager Focus UC - M (sans socle)</v>
      </c>
      <c r="C67" s="8" t="str">
        <f>IFERROR(INDEX(Source!$A$2:$S$86,Source!$AA52,COLUMNS(Source!$X$2:Z52)),"")</f>
        <v>Sans Fil</v>
      </c>
      <c r="D67" s="8" t="str">
        <f>IFERROR(INDEX(Source!$A$2:$S$86,Source!$AA52,COLUMNS(Source!$X$2:AA52)),"")</f>
        <v>202652-04</v>
      </c>
      <c r="E67" s="18">
        <f>IFERROR(INDEX(Source!$A$2:$S$86,Source!$AA52,COLUMNS(Source!$X$2:AB52)),"")</f>
        <v>249</v>
      </c>
      <c r="F67" s="8" t="str">
        <f>IFERROR(INDEX(Source!$A$2:$S$86,Source!$AA52,COLUMNS(Source!$X$2:AC52)),"")</f>
        <v>GSM + PC</v>
      </c>
      <c r="G67" s="8" t="str">
        <f>IFERROR(INDEX(Source!$A$2:$S$86,Source!$AA52,COLUMNS(Source!$X$2:AD52)),"")</f>
        <v>Bino</v>
      </c>
      <c r="H67" s="8" t="str">
        <f>IFERROR(INDEX(Source!$A$2:$S$86,Source!$AA52,COLUMNS(Source!$X$2:AE52)),"")</f>
        <v>45m</v>
      </c>
      <c r="I67" s="8" t="str">
        <f>IFERROR(INDEX(Source!$A$2:$S$86,Source!$AA52,COLUMNS(Source!$X$2:AF52)),"")</f>
        <v>12h</v>
      </c>
      <c r="J67" s="40" t="str">
        <f>IFERROR(INDEX(Source!$A$2:$S$86,Source!$AA52,COLUMNS(Source!$X$2:AG52)),"")</f>
        <v>15h</v>
      </c>
      <c r="K67" s="40">
        <f>IFERROR(INDEX(Source!$A$2:$S$86,Source!$AA52,COLUMNS(Source!$X$2:AH52)),"")</f>
        <v>0</v>
      </c>
      <c r="L67" s="40">
        <f>IFERROR(INDEX(Source!$A$2:$S$86,Source!$AA52,COLUMNS(Source!$X$2:AI52)),"")</f>
        <v>0</v>
      </c>
      <c r="M67" s="40">
        <f>IFERROR(INDEX(Source!$A$2:$S$86,Source!$AA52,COLUMNS(Source!$X$2:AJ52)),"")</f>
        <v>0</v>
      </c>
      <c r="N67" s="40">
        <f>IFERROR(INDEX(Source!$A$2:$S$86,Source!$AA52,COLUMNS(Source!$X$2:AK52)),"")</f>
        <v>3</v>
      </c>
      <c r="O67" s="40" t="str">
        <f>IFERROR(INDEX(Source!$A$2:$S$86,Source!$AA52,COLUMNS(Source!$X$2:AL52)),"")</f>
        <v>Oui</v>
      </c>
      <c r="P67" s="40" t="str">
        <f>IFERROR(INDEX(Source!$A$2:$S$86,Source!$AA52,COLUMNS(Source!$X$2:AM52)),"")</f>
        <v>155g</v>
      </c>
      <c r="Q67" s="40" t="str">
        <f>IFERROR(INDEX(Source!$A$2:$S$86,Source!$AA52,COLUMNS(Source!$X$2:AN52)),"")</f>
        <v>Oui</v>
      </c>
      <c r="R67" s="40">
        <f>IFERROR(INDEX(Source!$A$2:$S$86,Source!$AA52,COLUMNS(Source!$X$2:AO52)),"")</f>
        <v>0</v>
      </c>
      <c r="S67" s="40" t="str">
        <f>IFERROR(INDEX(Source!$A$2:$S$86,Source!$AA52,COLUMNS(Source!$X$2:AP52)),"")</f>
        <v>2 ans</v>
      </c>
    </row>
    <row r="68" spans="1:19" x14ac:dyDescent="0.25">
      <c r="A68" s="8" t="str">
        <f>IFERROR(INDEX(Source!$A$2:$S$86,Source!$AA53,COLUMNS(Source!$X$2:X53)),"")</f>
        <v>PLANTRONICS</v>
      </c>
      <c r="B68" s="8" t="str">
        <f>IFERROR(INDEX(Source!$A$2:$S$86,Source!$AA53,COLUMNS(Source!$X$2:Y53)),"")</f>
        <v>Voyager Focus UC - M</v>
      </c>
      <c r="C68" s="8" t="str">
        <f>IFERROR(INDEX(Source!$A$2:$S$86,Source!$AA53,COLUMNS(Source!$X$2:Z53)),"")</f>
        <v>Sans Fil</v>
      </c>
      <c r="D68" s="8" t="str">
        <f>IFERROR(INDEX(Source!$A$2:$S$86,Source!$AA53,COLUMNS(Source!$X$2:AA53)),"")</f>
        <v>202652-02</v>
      </c>
      <c r="E68" s="18">
        <f>IFERROR(INDEX(Source!$A$2:$S$86,Source!$AA53,COLUMNS(Source!$X$2:AB53)),"")</f>
        <v>299</v>
      </c>
      <c r="F68" s="8" t="str">
        <f>IFERROR(INDEX(Source!$A$2:$S$86,Source!$AA53,COLUMNS(Source!$X$2:AC53)),"")</f>
        <v>GSM + PC</v>
      </c>
      <c r="G68" s="8" t="str">
        <f>IFERROR(INDEX(Source!$A$2:$S$86,Source!$AA53,COLUMNS(Source!$X$2:AD53)),"")</f>
        <v>Bino</v>
      </c>
      <c r="H68" s="8" t="str">
        <f>IFERROR(INDEX(Source!$A$2:$S$86,Source!$AA53,COLUMNS(Source!$X$2:AE53)),"")</f>
        <v>45m</v>
      </c>
      <c r="I68" s="8" t="str">
        <f>IFERROR(INDEX(Source!$A$2:$S$86,Source!$AA53,COLUMNS(Source!$X$2:AF53)),"")</f>
        <v>12h</v>
      </c>
      <c r="J68" s="40" t="str">
        <f>IFERROR(INDEX(Source!$A$2:$S$86,Source!$AA53,COLUMNS(Source!$X$2:AG53)),"")</f>
        <v>15h</v>
      </c>
      <c r="K68" s="40">
        <f>IFERROR(INDEX(Source!$A$2:$S$86,Source!$AA53,COLUMNS(Source!$X$2:AH53)),"")</f>
        <v>0</v>
      </c>
      <c r="L68" s="40">
        <f>IFERROR(INDEX(Source!$A$2:$S$86,Source!$AA53,COLUMNS(Source!$X$2:AI53)),"")</f>
        <v>0</v>
      </c>
      <c r="M68" s="40">
        <f>IFERROR(INDEX(Source!$A$2:$S$86,Source!$AA53,COLUMNS(Source!$X$2:AJ53)),"")</f>
        <v>0</v>
      </c>
      <c r="N68" s="40">
        <f>IFERROR(INDEX(Source!$A$2:$S$86,Source!$AA53,COLUMNS(Source!$X$2:AK53)),"")</f>
        <v>3</v>
      </c>
      <c r="O68" s="40" t="str">
        <f>IFERROR(INDEX(Source!$A$2:$S$86,Source!$AA53,COLUMNS(Source!$X$2:AL53)),"")</f>
        <v>Oui</v>
      </c>
      <c r="P68" s="40" t="str">
        <f>IFERROR(INDEX(Source!$A$2:$S$86,Source!$AA53,COLUMNS(Source!$X$2:AM53)),"")</f>
        <v>155g</v>
      </c>
      <c r="Q68" s="40" t="str">
        <f>IFERROR(INDEX(Source!$A$2:$S$86,Source!$AA53,COLUMNS(Source!$X$2:AN53)),"")</f>
        <v>Oui</v>
      </c>
      <c r="R68" s="40">
        <f>IFERROR(INDEX(Source!$A$2:$S$86,Source!$AA53,COLUMNS(Source!$X$2:AO53)),"")</f>
        <v>0</v>
      </c>
      <c r="S68" s="40" t="str">
        <f>IFERROR(INDEX(Source!$A$2:$S$86,Source!$AA53,COLUMNS(Source!$X$2:AP53)),"")</f>
        <v>2 ans</v>
      </c>
    </row>
    <row r="69" spans="1:19" x14ac:dyDescent="0.25">
      <c r="A69" s="8" t="str">
        <f>IFERROR(INDEX(Source!$A$2:$S$86,Source!$AA54,COLUMNS(Source!$X$2:X54)),"")</f>
        <v>SENNHEISER</v>
      </c>
      <c r="B69" s="8" t="str">
        <f>IFERROR(INDEX(Source!$A$2:$S$86,Source!$AA54,COLUMNS(Source!$X$2:Y54)),"")</f>
        <v>MB Pro 1 UC</v>
      </c>
      <c r="C69" s="8" t="str">
        <f>IFERROR(INDEX(Source!$A$2:$S$86,Source!$AA54,COLUMNS(Source!$X$2:Z54)),"")</f>
        <v>Sans Fil</v>
      </c>
      <c r="D69" s="8">
        <f>IFERROR(INDEX(Source!$A$2:$S$86,Source!$AA54,COLUMNS(Source!$X$2:AA54)),"")</f>
        <v>506042</v>
      </c>
      <c r="E69" s="18">
        <f>IFERROR(INDEX(Source!$A$2:$S$86,Source!$AA54,COLUMNS(Source!$X$2:AB54)),"")</f>
        <v>219</v>
      </c>
      <c r="F69" s="8" t="str">
        <f>IFERROR(INDEX(Source!$A$2:$S$86,Source!$AA54,COLUMNS(Source!$X$2:AC54)),"")</f>
        <v>GSM + PC</v>
      </c>
      <c r="G69" s="8" t="str">
        <f>IFERROR(INDEX(Source!$A$2:$S$86,Source!$AA54,COLUMNS(Source!$X$2:AD54)),"")</f>
        <v>Mono</v>
      </c>
      <c r="H69" s="8" t="str">
        <f>IFERROR(INDEX(Source!$A$2:$S$86,Source!$AA54,COLUMNS(Source!$X$2:AE54)),"")</f>
        <v>25m</v>
      </c>
      <c r="I69" s="8" t="str">
        <f>IFERROR(INDEX(Source!$A$2:$S$86,Source!$AA54,COLUMNS(Source!$X$2:AF54)),"")</f>
        <v>15h</v>
      </c>
      <c r="J69" s="40" t="str">
        <f>IFERROR(INDEX(Source!$A$2:$S$86,Source!$AA54,COLUMNS(Source!$X$2:AG54)),"")</f>
        <v>100h</v>
      </c>
      <c r="K69" s="40">
        <f>IFERROR(INDEX(Source!$A$2:$S$86,Source!$AA54,COLUMNS(Source!$X$2:AH54)),"")</f>
        <v>0</v>
      </c>
      <c r="L69" s="40">
        <f>IFERROR(INDEX(Source!$A$2:$S$86,Source!$AA54,COLUMNS(Source!$X$2:AI54)),"")</f>
        <v>0</v>
      </c>
      <c r="M69" s="40">
        <f>IFERROR(INDEX(Source!$A$2:$S$86,Source!$AA54,COLUMNS(Source!$X$2:AJ54)),"")</f>
        <v>0</v>
      </c>
      <c r="N69" s="40">
        <f>IFERROR(INDEX(Source!$A$2:$S$86,Source!$AA54,COLUMNS(Source!$X$2:AK54)),"")</f>
        <v>0</v>
      </c>
      <c r="O69" s="40" t="str">
        <f>IFERROR(INDEX(Source!$A$2:$S$86,Source!$AA54,COLUMNS(Source!$X$2:AL54)),"")</f>
        <v>Oui</v>
      </c>
      <c r="P69" s="40" t="str">
        <f>IFERROR(INDEX(Source!$A$2:$S$86,Source!$AA54,COLUMNS(Source!$X$2:AM54)),"")</f>
        <v>63g</v>
      </c>
      <c r="Q69" s="40" t="str">
        <f>IFERROR(INDEX(Source!$A$2:$S$86,Source!$AA54,COLUMNS(Source!$X$2:AN54)),"")</f>
        <v>Non</v>
      </c>
      <c r="R69" s="40">
        <f>IFERROR(INDEX(Source!$A$2:$S$86,Source!$AA54,COLUMNS(Source!$X$2:AO54)),"")</f>
        <v>0</v>
      </c>
      <c r="S69" s="40" t="str">
        <f>IFERROR(INDEX(Source!$A$2:$S$86,Source!$AA54,COLUMNS(Source!$X$2:AP54)),"")</f>
        <v>2 ans</v>
      </c>
    </row>
    <row r="70" spans="1:19" x14ac:dyDescent="0.25">
      <c r="A70" s="8" t="str">
        <f>IFERROR(INDEX(Source!$A$2:$S$86,Source!$AA55,COLUMNS(Source!$X$2:X55)),"")</f>
        <v>SENNHEISER</v>
      </c>
      <c r="B70" s="8" t="str">
        <f>IFERROR(INDEX(Source!$A$2:$S$86,Source!$AA55,COLUMNS(Source!$X$2:Y55)),"")</f>
        <v>MB Pro 1 UC ML</v>
      </c>
      <c r="C70" s="8" t="str">
        <f>IFERROR(INDEX(Source!$A$2:$S$86,Source!$AA55,COLUMNS(Source!$X$2:Z55)),"")</f>
        <v>Sans Fil</v>
      </c>
      <c r="D70" s="8">
        <f>IFERROR(INDEX(Source!$A$2:$S$86,Source!$AA55,COLUMNS(Source!$X$2:AA55)),"")</f>
        <v>506043</v>
      </c>
      <c r="E70" s="18">
        <f>IFERROR(INDEX(Source!$A$2:$S$86,Source!$AA55,COLUMNS(Source!$X$2:AB55)),"")</f>
        <v>219</v>
      </c>
      <c r="F70" s="8" t="str">
        <f>IFERROR(INDEX(Source!$A$2:$S$86,Source!$AA55,COLUMNS(Source!$X$2:AC55)),"")</f>
        <v>GSM + PC</v>
      </c>
      <c r="G70" s="8" t="str">
        <f>IFERROR(INDEX(Source!$A$2:$S$86,Source!$AA55,COLUMNS(Source!$X$2:AD55)),"")</f>
        <v>Mono</v>
      </c>
      <c r="H70" s="8" t="str">
        <f>IFERROR(INDEX(Source!$A$2:$S$86,Source!$AA55,COLUMNS(Source!$X$2:AE55)),"")</f>
        <v>25m</v>
      </c>
      <c r="I70" s="8" t="str">
        <f>IFERROR(INDEX(Source!$A$2:$S$86,Source!$AA55,COLUMNS(Source!$X$2:AF55)),"")</f>
        <v>15h</v>
      </c>
      <c r="J70" s="40" t="str">
        <f>IFERROR(INDEX(Source!$A$2:$S$86,Source!$AA55,COLUMNS(Source!$X$2:AG55)),"")</f>
        <v>100h</v>
      </c>
      <c r="K70" s="40">
        <f>IFERROR(INDEX(Source!$A$2:$S$86,Source!$AA55,COLUMNS(Source!$X$2:AH55)),"")</f>
        <v>0</v>
      </c>
      <c r="L70" s="40">
        <f>IFERROR(INDEX(Source!$A$2:$S$86,Source!$AA55,COLUMNS(Source!$X$2:AI55)),"")</f>
        <v>0</v>
      </c>
      <c r="M70" s="40">
        <f>IFERROR(INDEX(Source!$A$2:$S$86,Source!$AA55,COLUMNS(Source!$X$2:AJ55)),"")</f>
        <v>0</v>
      </c>
      <c r="N70" s="40">
        <f>IFERROR(INDEX(Source!$A$2:$S$86,Source!$AA55,COLUMNS(Source!$X$2:AK55)),"")</f>
        <v>0</v>
      </c>
      <c r="O70" s="40" t="str">
        <f>IFERROR(INDEX(Source!$A$2:$S$86,Source!$AA55,COLUMNS(Source!$X$2:AL55)),"")</f>
        <v>Oui</v>
      </c>
      <c r="P70" s="40" t="str">
        <f>IFERROR(INDEX(Source!$A$2:$S$86,Source!$AA55,COLUMNS(Source!$X$2:AM55)),"")</f>
        <v>63g</v>
      </c>
      <c r="Q70" s="40" t="str">
        <f>IFERROR(INDEX(Source!$A$2:$S$86,Source!$AA55,COLUMNS(Source!$X$2:AN55)),"")</f>
        <v>Oui</v>
      </c>
      <c r="R70" s="40">
        <f>IFERROR(INDEX(Source!$A$2:$S$86,Source!$AA55,COLUMNS(Source!$X$2:AO55)),"")</f>
        <v>0</v>
      </c>
      <c r="S70" s="40" t="str">
        <f>IFERROR(INDEX(Source!$A$2:$S$86,Source!$AA55,COLUMNS(Source!$X$2:AP55)),"")</f>
        <v>2 ans</v>
      </c>
    </row>
    <row r="71" spans="1:19" x14ac:dyDescent="0.25">
      <c r="A71" s="8" t="str">
        <f>IFERROR(INDEX(Source!$A$2:$S$86,Source!$AA56,COLUMNS(Source!$X$2:X56)),"")</f>
        <v>SENNHEISER</v>
      </c>
      <c r="B71" s="8" t="str">
        <f>IFERROR(INDEX(Source!$A$2:$S$86,Source!$AA56,COLUMNS(Source!$X$2:Y56)),"")</f>
        <v>MB Pro 2 UC</v>
      </c>
      <c r="C71" s="8" t="str">
        <f>IFERROR(INDEX(Source!$A$2:$S$86,Source!$AA56,COLUMNS(Source!$X$2:Z56)),"")</f>
        <v>Sans Fil</v>
      </c>
      <c r="D71" s="8">
        <f>IFERROR(INDEX(Source!$A$2:$S$86,Source!$AA56,COLUMNS(Source!$X$2:AA56)),"")</f>
        <v>506045</v>
      </c>
      <c r="E71" s="18">
        <f>IFERROR(INDEX(Source!$A$2:$S$86,Source!$AA56,COLUMNS(Source!$X$2:AB56)),"")</f>
        <v>239</v>
      </c>
      <c r="F71" s="8" t="str">
        <f>IFERROR(INDEX(Source!$A$2:$S$86,Source!$AA56,COLUMNS(Source!$X$2:AC56)),"")</f>
        <v>GSM + PC</v>
      </c>
      <c r="G71" s="8" t="str">
        <f>IFERROR(INDEX(Source!$A$2:$S$86,Source!$AA56,COLUMNS(Source!$X$2:AD56)),"")</f>
        <v>Bino</v>
      </c>
      <c r="H71" s="8" t="str">
        <f>IFERROR(INDEX(Source!$A$2:$S$86,Source!$AA56,COLUMNS(Source!$X$2:AE56)),"")</f>
        <v>25m</v>
      </c>
      <c r="I71" s="8" t="str">
        <f>IFERROR(INDEX(Source!$A$2:$S$86,Source!$AA56,COLUMNS(Source!$X$2:AF56)),"")</f>
        <v>15h</v>
      </c>
      <c r="J71" s="40" t="str">
        <f>IFERROR(INDEX(Source!$A$2:$S$86,Source!$AA56,COLUMNS(Source!$X$2:AG56)),"")</f>
        <v>100h</v>
      </c>
      <c r="K71" s="40">
        <f>IFERROR(INDEX(Source!$A$2:$S$86,Source!$AA56,COLUMNS(Source!$X$2:AH56)),"")</f>
        <v>0</v>
      </c>
      <c r="L71" s="40">
        <f>IFERROR(INDEX(Source!$A$2:$S$86,Source!$AA56,COLUMNS(Source!$X$2:AI56)),"")</f>
        <v>0</v>
      </c>
      <c r="M71" s="40">
        <f>IFERROR(INDEX(Source!$A$2:$S$86,Source!$AA56,COLUMNS(Source!$X$2:AJ56)),"")</f>
        <v>0</v>
      </c>
      <c r="N71" s="40">
        <f>IFERROR(INDEX(Source!$A$2:$S$86,Source!$AA56,COLUMNS(Source!$X$2:AK56)),"")</f>
        <v>0</v>
      </c>
      <c r="O71" s="40" t="str">
        <f>IFERROR(INDEX(Source!$A$2:$S$86,Source!$AA56,COLUMNS(Source!$X$2:AL56)),"")</f>
        <v>Oui</v>
      </c>
      <c r="P71" s="40" t="str">
        <f>IFERROR(INDEX(Source!$A$2:$S$86,Source!$AA56,COLUMNS(Source!$X$2:AM56)),"")</f>
        <v>63g</v>
      </c>
      <c r="Q71" s="40" t="str">
        <f>IFERROR(INDEX(Source!$A$2:$S$86,Source!$AA56,COLUMNS(Source!$X$2:AN56)),"")</f>
        <v>Non</v>
      </c>
      <c r="R71" s="40">
        <f>IFERROR(INDEX(Source!$A$2:$S$86,Source!$AA56,COLUMNS(Source!$X$2:AO56)),"")</f>
        <v>0</v>
      </c>
      <c r="S71" s="40" t="str">
        <f>IFERROR(INDEX(Source!$A$2:$S$86,Source!$AA56,COLUMNS(Source!$X$2:AP56)),"")</f>
        <v>2 ans</v>
      </c>
    </row>
    <row r="72" spans="1:19" x14ac:dyDescent="0.25">
      <c r="A72" s="8" t="str">
        <f>IFERROR(INDEX(Source!$A$2:$S$86,Source!$AA57,COLUMNS(Source!$X$2:X57)),"")</f>
        <v>SENNHEISER</v>
      </c>
      <c r="B72" s="8" t="str">
        <f>IFERROR(INDEX(Source!$A$2:$S$86,Source!$AA57,COLUMNS(Source!$X$2:Y57)),"")</f>
        <v>MB Pro 2 UC ML</v>
      </c>
      <c r="C72" s="8" t="str">
        <f>IFERROR(INDEX(Source!$A$2:$S$86,Source!$AA57,COLUMNS(Source!$X$2:Z57)),"")</f>
        <v>Sans Fil</v>
      </c>
      <c r="D72" s="8">
        <f>IFERROR(INDEX(Source!$A$2:$S$86,Source!$AA57,COLUMNS(Source!$X$2:AA57)),"")</f>
        <v>506046</v>
      </c>
      <c r="E72" s="18">
        <f>IFERROR(INDEX(Source!$A$2:$S$86,Source!$AA57,COLUMNS(Source!$X$2:AB57)),"")</f>
        <v>239</v>
      </c>
      <c r="F72" s="8" t="str">
        <f>IFERROR(INDEX(Source!$A$2:$S$86,Source!$AA57,COLUMNS(Source!$X$2:AC57)),"")</f>
        <v>GSM + PC</v>
      </c>
      <c r="G72" s="8" t="str">
        <f>IFERROR(INDEX(Source!$A$2:$S$86,Source!$AA57,COLUMNS(Source!$X$2:AD57)),"")</f>
        <v>Bino</v>
      </c>
      <c r="H72" s="8" t="str">
        <f>IFERROR(INDEX(Source!$A$2:$S$86,Source!$AA57,COLUMNS(Source!$X$2:AE57)),"")</f>
        <v>25m</v>
      </c>
      <c r="I72" s="8" t="str">
        <f>IFERROR(INDEX(Source!$A$2:$S$86,Source!$AA57,COLUMNS(Source!$X$2:AF57)),"")</f>
        <v>15h</v>
      </c>
      <c r="J72" s="40" t="str">
        <f>IFERROR(INDEX(Source!$A$2:$S$86,Source!$AA57,COLUMNS(Source!$X$2:AG57)),"")</f>
        <v>100h</v>
      </c>
      <c r="K72" s="40">
        <f>IFERROR(INDEX(Source!$A$2:$S$86,Source!$AA57,COLUMNS(Source!$X$2:AH57)),"")</f>
        <v>0</v>
      </c>
      <c r="L72" s="40">
        <f>IFERROR(INDEX(Source!$A$2:$S$86,Source!$AA57,COLUMNS(Source!$X$2:AI57)),"")</f>
        <v>0</v>
      </c>
      <c r="M72" s="40">
        <f>IFERROR(INDEX(Source!$A$2:$S$86,Source!$AA57,COLUMNS(Source!$X$2:AJ57)),"")</f>
        <v>0</v>
      </c>
      <c r="N72" s="40">
        <f>IFERROR(INDEX(Source!$A$2:$S$86,Source!$AA57,COLUMNS(Source!$X$2:AK57)),"")</f>
        <v>0</v>
      </c>
      <c r="O72" s="40" t="str">
        <f>IFERROR(INDEX(Source!$A$2:$S$86,Source!$AA57,COLUMNS(Source!$X$2:AL57)),"")</f>
        <v>Oui</v>
      </c>
      <c r="P72" s="40" t="str">
        <f>IFERROR(INDEX(Source!$A$2:$S$86,Source!$AA57,COLUMNS(Source!$X$2:AM57)),"")</f>
        <v>63g</v>
      </c>
      <c r="Q72" s="40" t="str">
        <f>IFERROR(INDEX(Source!$A$2:$S$86,Source!$AA57,COLUMNS(Source!$X$2:AN57)),"")</f>
        <v>Oui</v>
      </c>
      <c r="R72" s="40">
        <f>IFERROR(INDEX(Source!$A$2:$S$86,Source!$AA57,COLUMNS(Source!$X$2:AO57)),"")</f>
        <v>0</v>
      </c>
      <c r="S72" s="40" t="str">
        <f>IFERROR(INDEX(Source!$A$2:$S$86,Source!$AA57,COLUMNS(Source!$X$2:AP57)),"")</f>
        <v>2 ans</v>
      </c>
    </row>
    <row r="73" spans="1:19" x14ac:dyDescent="0.25">
      <c r="A73" s="8" t="str">
        <f>IFERROR(INDEX(Source!$A$2:$S$86,Source!$AA58,COLUMNS(Source!$X$2:X58)),"")</f>
        <v>JABRA</v>
      </c>
      <c r="B73" s="8" t="str">
        <f>IFERROR(INDEX(Source!$A$2:$S$86,Source!$AA58,COLUMNS(Source!$X$2:Y58)),"")</f>
        <v>PRO™ 9470 MONO</v>
      </c>
      <c r="C73" s="8" t="str">
        <f>IFERROR(INDEX(Source!$A$2:$S$86,Source!$AA58,COLUMNS(Source!$X$2:Z58)),"")</f>
        <v>Sans Fil</v>
      </c>
      <c r="D73" s="8" t="str">
        <f>IFERROR(INDEX(Source!$A$2:$S$86,Source!$AA58,COLUMNS(Source!$X$2:AA58)),"")</f>
        <v>9470-26-904-101</v>
      </c>
      <c r="E73" s="18">
        <f>IFERROR(INDEX(Source!$A$2:$S$86,Source!$AA58,COLUMNS(Source!$X$2:AB58)),"")</f>
        <v>379</v>
      </c>
      <c r="F73" s="8" t="str">
        <f>IFERROR(INDEX(Source!$A$2:$S$86,Source!$AA58,COLUMNS(Source!$X$2:AC58)),"")</f>
        <v>PC + TEL + GSM</v>
      </c>
      <c r="G73" s="8" t="str">
        <f>IFERROR(INDEX(Source!$A$2:$S$86,Source!$AA58,COLUMNS(Source!$X$2:AD58)),"")</f>
        <v>Mono</v>
      </c>
      <c r="H73" s="8" t="str">
        <f>IFERROR(INDEX(Source!$A$2:$S$86,Source!$AA58,COLUMNS(Source!$X$2:AE58)),"")</f>
        <v>150m</v>
      </c>
      <c r="I73" s="8" t="str">
        <f>IFERROR(INDEX(Source!$A$2:$S$86,Source!$AA58,COLUMNS(Source!$X$2:AF58)),"")</f>
        <v>9h</v>
      </c>
      <c r="J73" s="40" t="str">
        <f>IFERROR(INDEX(Source!$A$2:$S$86,Source!$AA58,COLUMNS(Source!$X$2:AG58)),"")</f>
        <v>40h</v>
      </c>
      <c r="K73" s="40">
        <f>IFERROR(INDEX(Source!$A$2:$S$86,Source!$AA58,COLUMNS(Source!$X$2:AH58)),"")</f>
        <v>0</v>
      </c>
      <c r="L73" s="40">
        <f>IFERROR(INDEX(Source!$A$2:$S$86,Source!$AA58,COLUMNS(Source!$X$2:AI58)),"")</f>
        <v>0</v>
      </c>
      <c r="M73" s="40">
        <f>IFERROR(INDEX(Source!$A$2:$S$86,Source!$AA58,COLUMNS(Source!$X$2:AJ58)),"")</f>
        <v>0</v>
      </c>
      <c r="N73" s="40">
        <f>IFERROR(INDEX(Source!$A$2:$S$86,Source!$AA58,COLUMNS(Source!$X$2:AK58)),"")</f>
        <v>0</v>
      </c>
      <c r="O73" s="40">
        <f>IFERROR(INDEX(Source!$A$2:$S$86,Source!$AA58,COLUMNS(Source!$X$2:AL58)),"")</f>
        <v>0</v>
      </c>
      <c r="P73" s="40" t="str">
        <f>IFERROR(INDEX(Source!$A$2:$S$86,Source!$AA58,COLUMNS(Source!$X$2:AM58)),"")</f>
        <v>36,5g</v>
      </c>
      <c r="Q73" s="40" t="str">
        <f>IFERROR(INDEX(Source!$A$2:$S$86,Source!$AA58,COLUMNS(Source!$X$2:AN58)),"")</f>
        <v>Non</v>
      </c>
      <c r="R73" s="40">
        <f>IFERROR(INDEX(Source!$A$2:$S$86,Source!$AA58,COLUMNS(Source!$X$2:AO58)),"")</f>
        <v>0</v>
      </c>
      <c r="S73" s="40" t="str">
        <f>IFERROR(INDEX(Source!$A$2:$S$86,Source!$AA58,COLUMNS(Source!$X$2:AP58)),"")</f>
        <v>2 ans</v>
      </c>
    </row>
    <row r="74" spans="1:19" x14ac:dyDescent="0.25">
      <c r="A74" s="8" t="str">
        <f>IFERROR(INDEX(Source!$A$2:$S$86,Source!$AA59,COLUMNS(Source!$X$2:X59)),"")</f>
        <v>JABRA</v>
      </c>
      <c r="B74" s="8" t="str">
        <f>IFERROR(INDEX(Source!$A$2:$S$86,Source!$AA59,COLUMNS(Source!$X$2:Y59)),"")</f>
        <v>PRO™ 9465 DUO</v>
      </c>
      <c r="C74" s="8" t="str">
        <f>IFERROR(INDEX(Source!$A$2:$S$86,Source!$AA59,COLUMNS(Source!$X$2:Z59)),"")</f>
        <v>Sans Fil</v>
      </c>
      <c r="D74" s="8" t="str">
        <f>IFERROR(INDEX(Source!$A$2:$S$86,Source!$AA59,COLUMNS(Source!$X$2:AA59)),"")</f>
        <v>9465-29-804-101</v>
      </c>
      <c r="E74" s="18">
        <f>IFERROR(INDEX(Source!$A$2:$S$86,Source!$AA59,COLUMNS(Source!$X$2:AB59)),"")</f>
        <v>399</v>
      </c>
      <c r="F74" s="8" t="str">
        <f>IFERROR(INDEX(Source!$A$2:$S$86,Source!$AA59,COLUMNS(Source!$X$2:AC59)),"")</f>
        <v>PC + TEL + GSM</v>
      </c>
      <c r="G74" s="8" t="str">
        <f>IFERROR(INDEX(Source!$A$2:$S$86,Source!$AA59,COLUMNS(Source!$X$2:AD59)),"")</f>
        <v>Bino</v>
      </c>
      <c r="H74" s="8" t="str">
        <f>IFERROR(INDEX(Source!$A$2:$S$86,Source!$AA59,COLUMNS(Source!$X$2:AE59)),"")</f>
        <v>150m</v>
      </c>
      <c r="I74" s="8" t="str">
        <f>IFERROR(INDEX(Source!$A$2:$S$86,Source!$AA59,COLUMNS(Source!$X$2:AF59)),"")</f>
        <v>9h</v>
      </c>
      <c r="J74" s="40" t="str">
        <f>IFERROR(INDEX(Source!$A$2:$S$86,Source!$AA59,COLUMNS(Source!$X$2:AG59)),"")</f>
        <v>40h</v>
      </c>
      <c r="K74" s="40">
        <f>IFERROR(INDEX(Source!$A$2:$S$86,Source!$AA59,COLUMNS(Source!$X$2:AH59)),"")</f>
        <v>0</v>
      </c>
      <c r="L74" s="40">
        <f>IFERROR(INDEX(Source!$A$2:$S$86,Source!$AA59,COLUMNS(Source!$X$2:AI59)),"")</f>
        <v>0</v>
      </c>
      <c r="M74" s="40">
        <f>IFERROR(INDEX(Source!$A$2:$S$86,Source!$AA59,COLUMNS(Source!$X$2:AJ59)),"")</f>
        <v>0</v>
      </c>
      <c r="N74" s="40">
        <f>IFERROR(INDEX(Source!$A$2:$S$86,Source!$AA59,COLUMNS(Source!$X$2:AK59)),"")</f>
        <v>0</v>
      </c>
      <c r="O74" s="40">
        <f>IFERROR(INDEX(Source!$A$2:$S$86,Source!$AA59,COLUMNS(Source!$X$2:AL59)),"")</f>
        <v>0</v>
      </c>
      <c r="P74" s="40" t="str">
        <f>IFERROR(INDEX(Source!$A$2:$S$86,Source!$AA59,COLUMNS(Source!$X$2:AM59)),"")</f>
        <v>36,5g</v>
      </c>
      <c r="Q74" s="40" t="str">
        <f>IFERROR(INDEX(Source!$A$2:$S$86,Source!$AA59,COLUMNS(Source!$X$2:AN59)),"")</f>
        <v>Non</v>
      </c>
      <c r="R74" s="40">
        <f>IFERROR(INDEX(Source!$A$2:$S$86,Source!$AA59,COLUMNS(Source!$X$2:AO59)),"")</f>
        <v>0</v>
      </c>
      <c r="S74" s="40" t="str">
        <f>IFERROR(INDEX(Source!$A$2:$S$86,Source!$AA59,COLUMNS(Source!$X$2:AP59)),"")</f>
        <v>2 ans</v>
      </c>
    </row>
    <row r="75" spans="1:19" x14ac:dyDescent="0.25">
      <c r="A75" s="8" t="str">
        <f>IFERROR(INDEX(Source!$A$2:$S$86,Source!$AA60,COLUMNS(Source!$X$2:X60)),"")</f>
        <v>JABRA</v>
      </c>
      <c r="B75" s="8" t="str">
        <f>IFERROR(INDEX(Source!$A$2:$S$86,Source!$AA60,COLUMNS(Source!$X$2:Y60)),"")</f>
        <v>MOTION OFFICE</v>
      </c>
      <c r="C75" s="8" t="str">
        <f>IFERROR(INDEX(Source!$A$2:$S$86,Source!$AA60,COLUMNS(Source!$X$2:Z60)),"")</f>
        <v>Sans Fil</v>
      </c>
      <c r="D75" s="8" t="str">
        <f>IFERROR(INDEX(Source!$A$2:$S$86,Source!$AA60,COLUMNS(Source!$X$2:AA60)),"")</f>
        <v>6670-904-141</v>
      </c>
      <c r="E75" s="18">
        <f>IFERROR(INDEX(Source!$A$2:$S$86,Source!$AA60,COLUMNS(Source!$X$2:AB60)),"")</f>
        <v>350</v>
      </c>
      <c r="F75" s="8" t="str">
        <f>IFERROR(INDEX(Source!$A$2:$S$86,Source!$AA60,COLUMNS(Source!$X$2:AC60)),"")</f>
        <v>PC + TEL + GSM</v>
      </c>
      <c r="G75" s="8" t="str">
        <f>IFERROR(INDEX(Source!$A$2:$S$86,Source!$AA60,COLUMNS(Source!$X$2:AD60)),"")</f>
        <v>Mono</v>
      </c>
      <c r="H75" s="8" t="str">
        <f>IFERROR(INDEX(Source!$A$2:$S$86,Source!$AA60,COLUMNS(Source!$X$2:AE60)),"")</f>
        <v>100m</v>
      </c>
      <c r="I75" s="8" t="str">
        <f>IFERROR(INDEX(Source!$A$2:$S$86,Source!$AA60,COLUMNS(Source!$X$2:AF60)),"")</f>
        <v>8h</v>
      </c>
      <c r="J75" s="40" t="str">
        <f>IFERROR(INDEX(Source!$A$2:$S$86,Source!$AA60,COLUMNS(Source!$X$2:AG60)),"")</f>
        <v>360h</v>
      </c>
      <c r="K75" s="40">
        <f>IFERROR(INDEX(Source!$A$2:$S$86,Source!$AA60,COLUMNS(Source!$X$2:AH60)),"")</f>
        <v>0</v>
      </c>
      <c r="L75" s="40">
        <f>IFERROR(INDEX(Source!$A$2:$S$86,Source!$AA60,COLUMNS(Source!$X$2:AI60)),"")</f>
        <v>0</v>
      </c>
      <c r="M75" s="40">
        <f>IFERROR(INDEX(Source!$A$2:$S$86,Source!$AA60,COLUMNS(Source!$X$2:AJ60)),"")</f>
        <v>0</v>
      </c>
      <c r="N75" s="40">
        <f>IFERROR(INDEX(Source!$A$2:$S$86,Source!$AA60,COLUMNS(Source!$X$2:AK60)),"")</f>
        <v>0</v>
      </c>
      <c r="O75" s="40">
        <f>IFERROR(INDEX(Source!$A$2:$S$86,Source!$AA60,COLUMNS(Source!$X$2:AL60)),"")</f>
        <v>0</v>
      </c>
      <c r="P75" s="40" t="str">
        <f>IFERROR(INDEX(Source!$A$2:$S$86,Source!$AA60,COLUMNS(Source!$X$2:AM60)),"")</f>
        <v>17,5g</v>
      </c>
      <c r="Q75" s="40" t="str">
        <f>IFERROR(INDEX(Source!$A$2:$S$86,Source!$AA60,COLUMNS(Source!$X$2:AN60)),"")</f>
        <v>Non</v>
      </c>
      <c r="R75" s="40">
        <f>IFERROR(INDEX(Source!$A$2:$S$86,Source!$AA60,COLUMNS(Source!$X$2:AO60)),"")</f>
        <v>0</v>
      </c>
      <c r="S75" s="40" t="str">
        <f>IFERROR(INDEX(Source!$A$2:$S$86,Source!$AA60,COLUMNS(Source!$X$2:AP60)),"")</f>
        <v>2 ans</v>
      </c>
    </row>
    <row r="76" spans="1:19" x14ac:dyDescent="0.25">
      <c r="A76" s="8" t="str">
        <f>IFERROR(INDEX(Source!$A$2:$S$86,Source!$AA61,COLUMNS(Source!$X$2:X61)),"")</f>
        <v>JABRA</v>
      </c>
      <c r="B76" s="8" t="str">
        <f>IFERROR(INDEX(Source!$A$2:$S$86,Source!$AA61,COLUMNS(Source!$X$2:Y61)),"")</f>
        <v>MOTION OFFICE MS</v>
      </c>
      <c r="C76" s="8" t="str">
        <f>IFERROR(INDEX(Source!$A$2:$S$86,Source!$AA61,COLUMNS(Source!$X$2:Z61)),"")</f>
        <v>Sans Fil</v>
      </c>
      <c r="D76" s="8" t="str">
        <f>IFERROR(INDEX(Source!$A$2:$S$86,Source!$AA61,COLUMNS(Source!$X$2:AA61)),"")</f>
        <v>6670-904-341</v>
      </c>
      <c r="E76" s="18">
        <f>IFERROR(INDEX(Source!$A$2:$S$86,Source!$AA61,COLUMNS(Source!$X$2:AB61)),"")</f>
        <v>350</v>
      </c>
      <c r="F76" s="8" t="str">
        <f>IFERROR(INDEX(Source!$A$2:$S$86,Source!$AA61,COLUMNS(Source!$X$2:AC61)),"")</f>
        <v>PC + TEL + GSM</v>
      </c>
      <c r="G76" s="8" t="str">
        <f>IFERROR(INDEX(Source!$A$2:$S$86,Source!$AA61,COLUMNS(Source!$X$2:AD61)),"")</f>
        <v>Mono</v>
      </c>
      <c r="H76" s="8" t="str">
        <f>IFERROR(INDEX(Source!$A$2:$S$86,Source!$AA61,COLUMNS(Source!$X$2:AE61)),"")</f>
        <v>100m</v>
      </c>
      <c r="I76" s="8" t="str">
        <f>IFERROR(INDEX(Source!$A$2:$S$86,Source!$AA61,COLUMNS(Source!$X$2:AF61)),"")</f>
        <v>8h</v>
      </c>
      <c r="J76" s="40" t="str">
        <f>IFERROR(INDEX(Source!$A$2:$S$86,Source!$AA61,COLUMNS(Source!$X$2:AG61)),"")</f>
        <v>360h</v>
      </c>
      <c r="K76" s="40">
        <f>IFERROR(INDEX(Source!$A$2:$S$86,Source!$AA61,COLUMNS(Source!$X$2:AH61)),"")</f>
        <v>0</v>
      </c>
      <c r="L76" s="40">
        <f>IFERROR(INDEX(Source!$A$2:$S$86,Source!$AA61,COLUMNS(Source!$X$2:AI61)),"")</f>
        <v>0</v>
      </c>
      <c r="M76" s="40">
        <f>IFERROR(INDEX(Source!$A$2:$S$86,Source!$AA61,COLUMNS(Source!$X$2:AJ61)),"")</f>
        <v>0</v>
      </c>
      <c r="N76" s="40">
        <f>IFERROR(INDEX(Source!$A$2:$S$86,Source!$AA61,COLUMNS(Source!$X$2:AK61)),"")</f>
        <v>0</v>
      </c>
      <c r="O76" s="40">
        <f>IFERROR(INDEX(Source!$A$2:$S$86,Source!$AA61,COLUMNS(Source!$X$2:AL61)),"")</f>
        <v>0</v>
      </c>
      <c r="P76" s="40" t="str">
        <f>IFERROR(INDEX(Source!$A$2:$S$86,Source!$AA61,COLUMNS(Source!$X$2:AM61)),"")</f>
        <v>17,5g</v>
      </c>
      <c r="Q76" s="40" t="str">
        <f>IFERROR(INDEX(Source!$A$2:$S$86,Source!$AA61,COLUMNS(Source!$X$2:AN61)),"")</f>
        <v>Oui</v>
      </c>
      <c r="R76" s="40">
        <f>IFERROR(INDEX(Source!$A$2:$S$86,Source!$AA61,COLUMNS(Source!$X$2:AO61)),"")</f>
        <v>0</v>
      </c>
      <c r="S76" s="40" t="str">
        <f>IFERROR(INDEX(Source!$A$2:$S$86,Source!$AA61,COLUMNS(Source!$X$2:AP61)),"")</f>
        <v>2 ans</v>
      </c>
    </row>
    <row r="77" spans="1:19" x14ac:dyDescent="0.25">
      <c r="A77" s="8" t="str">
        <f>IFERROR(INDEX(Source!$A$2:$S$86,Source!$AA62,COLUMNS(Source!$X$2:X62)),"")</f>
        <v>PLANTRONICS</v>
      </c>
      <c r="B77" s="8" t="str">
        <f>IFERROR(INDEX(Source!$A$2:$S$86,Source!$AA62,COLUMNS(Source!$X$2:Y62)),"")</f>
        <v>SAVI W710</v>
      </c>
      <c r="C77" s="8" t="str">
        <f>IFERROR(INDEX(Source!$A$2:$S$86,Source!$AA62,COLUMNS(Source!$X$2:Z62)),"")</f>
        <v>Sans Fil</v>
      </c>
      <c r="D77" s="8" t="str">
        <f>IFERROR(INDEX(Source!$A$2:$S$86,Source!$AA62,COLUMNS(Source!$X$2:AA62)),"")</f>
        <v>83545-12</v>
      </c>
      <c r="E77" s="18">
        <f>IFERROR(INDEX(Source!$A$2:$S$86,Source!$AA62,COLUMNS(Source!$X$2:AB62)),"")</f>
        <v>359</v>
      </c>
      <c r="F77" s="8" t="str">
        <f>IFERROR(INDEX(Source!$A$2:$S$86,Source!$AA62,COLUMNS(Source!$X$2:AC62)),"")</f>
        <v>PC + TEL + GSM</v>
      </c>
      <c r="G77" s="8" t="str">
        <f>IFERROR(INDEX(Source!$A$2:$S$86,Source!$AA62,COLUMNS(Source!$X$2:AD62)),"")</f>
        <v>Mono</v>
      </c>
      <c r="H77" s="8" t="str">
        <f>IFERROR(INDEX(Source!$A$2:$S$86,Source!$AA62,COLUMNS(Source!$X$2:AE62)),"")</f>
        <v>120m</v>
      </c>
      <c r="I77" s="8" t="str">
        <f>IFERROR(INDEX(Source!$A$2:$S$86,Source!$AA62,COLUMNS(Source!$X$2:AF62)),"")</f>
        <v>9h</v>
      </c>
      <c r="J77" s="40" t="str">
        <f>IFERROR(INDEX(Source!$A$2:$S$86,Source!$AA62,COLUMNS(Source!$X$2:AG62)),"")</f>
        <v>50h</v>
      </c>
      <c r="K77" s="40">
        <f>IFERROR(INDEX(Source!$A$2:$S$86,Source!$AA62,COLUMNS(Source!$X$2:AH62)),"")</f>
        <v>0</v>
      </c>
      <c r="L77" s="40">
        <f>IFERROR(INDEX(Source!$A$2:$S$86,Source!$AA62,COLUMNS(Source!$X$2:AI62)),"")</f>
        <v>0</v>
      </c>
      <c r="M77" s="40">
        <f>IFERROR(INDEX(Source!$A$2:$S$86,Source!$AA62,COLUMNS(Source!$X$2:AJ62)),"")</f>
        <v>0</v>
      </c>
      <c r="N77" s="40">
        <f>IFERROR(INDEX(Source!$A$2:$S$86,Source!$AA62,COLUMNS(Source!$X$2:AK62)),"")</f>
        <v>0</v>
      </c>
      <c r="O77" s="40">
        <f>IFERROR(INDEX(Source!$A$2:$S$86,Source!$AA62,COLUMNS(Source!$X$2:AL62)),"")</f>
        <v>0</v>
      </c>
      <c r="P77" s="40" t="str">
        <f>IFERROR(INDEX(Source!$A$2:$S$86,Source!$AA62,COLUMNS(Source!$X$2:AM62)),"")</f>
        <v>72g</v>
      </c>
      <c r="Q77" s="40" t="str">
        <f>IFERROR(INDEX(Source!$A$2:$S$86,Source!$AA62,COLUMNS(Source!$X$2:AN62)),"")</f>
        <v>Non</v>
      </c>
      <c r="R77" s="40">
        <f>IFERROR(INDEX(Source!$A$2:$S$86,Source!$AA62,COLUMNS(Source!$X$2:AO62)),"")</f>
        <v>0</v>
      </c>
      <c r="S77" s="40" t="str">
        <f>IFERROR(INDEX(Source!$A$2:$S$86,Source!$AA62,COLUMNS(Source!$X$2:AP62)),"")</f>
        <v>2 ans</v>
      </c>
    </row>
    <row r="78" spans="1:19" x14ac:dyDescent="0.25">
      <c r="A78" s="8" t="str">
        <f>IFERROR(INDEX(Source!$A$2:$S$86,Source!$AA63,COLUMNS(Source!$X$2:X63)),"")</f>
        <v>PLANTRONICS</v>
      </c>
      <c r="B78" s="8" t="str">
        <f>IFERROR(INDEX(Source!$A$2:$S$86,Source!$AA63,COLUMNS(Source!$X$2:Y63)),"")</f>
        <v>SAVI W710 - M</v>
      </c>
      <c r="C78" s="8" t="str">
        <f>IFERROR(INDEX(Source!$A$2:$S$86,Source!$AA63,COLUMNS(Source!$X$2:Z63)),"")</f>
        <v>Sans Fil</v>
      </c>
      <c r="D78" s="8" t="str">
        <f>IFERROR(INDEX(Source!$A$2:$S$86,Source!$AA63,COLUMNS(Source!$X$2:AA63)),"")</f>
        <v>84003-02</v>
      </c>
      <c r="E78" s="18">
        <f>IFERROR(INDEX(Source!$A$2:$S$86,Source!$AA63,COLUMNS(Source!$X$2:AB63)),"")</f>
        <v>359</v>
      </c>
      <c r="F78" s="8" t="str">
        <f>IFERROR(INDEX(Source!$A$2:$S$86,Source!$AA63,COLUMNS(Source!$X$2:AC63)),"")</f>
        <v>PC + TEL + GSM</v>
      </c>
      <c r="G78" s="8" t="str">
        <f>IFERROR(INDEX(Source!$A$2:$S$86,Source!$AA63,COLUMNS(Source!$X$2:AD63)),"")</f>
        <v>Mono</v>
      </c>
      <c r="H78" s="8" t="str">
        <f>IFERROR(INDEX(Source!$A$2:$S$86,Source!$AA63,COLUMNS(Source!$X$2:AE63)),"")</f>
        <v>120m</v>
      </c>
      <c r="I78" s="8" t="str">
        <f>IFERROR(INDEX(Source!$A$2:$S$86,Source!$AA63,COLUMNS(Source!$X$2:AF63)),"")</f>
        <v>9h</v>
      </c>
      <c r="J78" s="40" t="str">
        <f>IFERROR(INDEX(Source!$A$2:$S$86,Source!$AA63,COLUMNS(Source!$X$2:AG63)),"")</f>
        <v>50h</v>
      </c>
      <c r="K78" s="40">
        <f>IFERROR(INDEX(Source!$A$2:$S$86,Source!$AA63,COLUMNS(Source!$X$2:AH63)),"")</f>
        <v>0</v>
      </c>
      <c r="L78" s="40">
        <f>IFERROR(INDEX(Source!$A$2:$S$86,Source!$AA63,COLUMNS(Source!$X$2:AI63)),"")</f>
        <v>0</v>
      </c>
      <c r="M78" s="40">
        <f>IFERROR(INDEX(Source!$A$2:$S$86,Source!$AA63,COLUMNS(Source!$X$2:AJ63)),"")</f>
        <v>0</v>
      </c>
      <c r="N78" s="40">
        <f>IFERROR(INDEX(Source!$A$2:$S$86,Source!$AA63,COLUMNS(Source!$X$2:AK63)),"")</f>
        <v>0</v>
      </c>
      <c r="O78" s="40">
        <f>IFERROR(INDEX(Source!$A$2:$S$86,Source!$AA63,COLUMNS(Source!$X$2:AL63)),"")</f>
        <v>0</v>
      </c>
      <c r="P78" s="40" t="str">
        <f>IFERROR(INDEX(Source!$A$2:$S$86,Source!$AA63,COLUMNS(Source!$X$2:AM63)),"")</f>
        <v>72g</v>
      </c>
      <c r="Q78" s="40" t="str">
        <f>IFERROR(INDEX(Source!$A$2:$S$86,Source!$AA63,COLUMNS(Source!$X$2:AN63)),"")</f>
        <v>Oui</v>
      </c>
      <c r="R78" s="40">
        <f>IFERROR(INDEX(Source!$A$2:$S$86,Source!$AA63,COLUMNS(Source!$X$2:AO63)),"")</f>
        <v>0</v>
      </c>
      <c r="S78" s="40" t="str">
        <f>IFERROR(INDEX(Source!$A$2:$S$86,Source!$AA63,COLUMNS(Source!$X$2:AP63)),"")</f>
        <v>2 ans</v>
      </c>
    </row>
    <row r="79" spans="1:19" x14ac:dyDescent="0.25">
      <c r="A79" s="8" t="str">
        <f>IFERROR(INDEX(Source!$A$2:$S$86,Source!$AA64,COLUMNS(Source!$X$2:X64)),"")</f>
        <v>PLANTRONICS</v>
      </c>
      <c r="B79" s="8" t="str">
        <f>IFERROR(INDEX(Source!$A$2:$S$86,Source!$AA64,COLUMNS(Source!$X$2:Y64)),"")</f>
        <v>SAVI W720</v>
      </c>
      <c r="C79" s="8" t="str">
        <f>IFERROR(INDEX(Source!$A$2:$S$86,Source!$AA64,COLUMNS(Source!$X$2:Z64)),"")</f>
        <v>Sans Fil</v>
      </c>
      <c r="D79" s="8" t="str">
        <f>IFERROR(INDEX(Source!$A$2:$S$86,Source!$AA64,COLUMNS(Source!$X$2:AA64)),"")</f>
        <v>83544-12</v>
      </c>
      <c r="E79" s="18">
        <f>IFERROR(INDEX(Source!$A$2:$S$86,Source!$AA64,COLUMNS(Source!$X$2:AB64)),"")</f>
        <v>389</v>
      </c>
      <c r="F79" s="8" t="str">
        <f>IFERROR(INDEX(Source!$A$2:$S$86,Source!$AA64,COLUMNS(Source!$X$2:AC64)),"")</f>
        <v>PC + TEL + GSM</v>
      </c>
      <c r="G79" s="8" t="str">
        <f>IFERROR(INDEX(Source!$A$2:$S$86,Source!$AA64,COLUMNS(Source!$X$2:AD64)),"")</f>
        <v>Bino</v>
      </c>
      <c r="H79" s="8" t="str">
        <f>IFERROR(INDEX(Source!$A$2:$S$86,Source!$AA64,COLUMNS(Source!$X$2:AE64)),"")</f>
        <v>120m</v>
      </c>
      <c r="I79" s="8" t="str">
        <f>IFERROR(INDEX(Source!$A$2:$S$86,Source!$AA64,COLUMNS(Source!$X$2:AF64)),"")</f>
        <v>9h</v>
      </c>
      <c r="J79" s="40" t="str">
        <f>IFERROR(INDEX(Source!$A$2:$S$86,Source!$AA64,COLUMNS(Source!$X$2:AG64)),"")</f>
        <v>50h</v>
      </c>
      <c r="K79" s="40">
        <f>IFERROR(INDEX(Source!$A$2:$S$86,Source!$AA64,COLUMNS(Source!$X$2:AH64)),"")</f>
        <v>0</v>
      </c>
      <c r="L79" s="40">
        <f>IFERROR(INDEX(Source!$A$2:$S$86,Source!$AA64,COLUMNS(Source!$X$2:AI64)),"")</f>
        <v>0</v>
      </c>
      <c r="M79" s="40">
        <f>IFERROR(INDEX(Source!$A$2:$S$86,Source!$AA64,COLUMNS(Source!$X$2:AJ64)),"")</f>
        <v>0</v>
      </c>
      <c r="N79" s="40">
        <f>IFERROR(INDEX(Source!$A$2:$S$86,Source!$AA64,COLUMNS(Source!$X$2:AK64)),"")</f>
        <v>0</v>
      </c>
      <c r="O79" s="40">
        <f>IFERROR(INDEX(Source!$A$2:$S$86,Source!$AA64,COLUMNS(Source!$X$2:AL64)),"")</f>
        <v>0</v>
      </c>
      <c r="P79" s="40" t="str">
        <f>IFERROR(INDEX(Source!$A$2:$S$86,Source!$AA64,COLUMNS(Source!$X$2:AM64)),"")</f>
        <v>94g</v>
      </c>
      <c r="Q79" s="40" t="str">
        <f>IFERROR(INDEX(Source!$A$2:$S$86,Source!$AA64,COLUMNS(Source!$X$2:AN64)),"")</f>
        <v>Non</v>
      </c>
      <c r="R79" s="40">
        <f>IFERROR(INDEX(Source!$A$2:$S$86,Source!$AA64,COLUMNS(Source!$X$2:AO64)),"")</f>
        <v>0</v>
      </c>
      <c r="S79" s="40" t="str">
        <f>IFERROR(INDEX(Source!$A$2:$S$86,Source!$AA64,COLUMNS(Source!$X$2:AP64)),"")</f>
        <v>2 ans</v>
      </c>
    </row>
    <row r="80" spans="1:19" x14ac:dyDescent="0.25">
      <c r="A80" s="8" t="str">
        <f>IFERROR(INDEX(Source!$A$2:$S$86,Source!$AA65,COLUMNS(Source!$X$2:X65)),"")</f>
        <v>PLANTRONICS</v>
      </c>
      <c r="B80" s="8" t="str">
        <f>IFERROR(INDEX(Source!$A$2:$S$86,Source!$AA65,COLUMNS(Source!$X$2:Y65)),"")</f>
        <v>SAVI W720 - M</v>
      </c>
      <c r="C80" s="8" t="str">
        <f>IFERROR(INDEX(Source!$A$2:$S$86,Source!$AA65,COLUMNS(Source!$X$2:Z65)),"")</f>
        <v>Sans Fil</v>
      </c>
      <c r="D80" s="8" t="str">
        <f>IFERROR(INDEX(Source!$A$2:$S$86,Source!$AA65,COLUMNS(Source!$X$2:AA65)),"")</f>
        <v>84004-02</v>
      </c>
      <c r="E80" s="18">
        <f>IFERROR(INDEX(Source!$A$2:$S$86,Source!$AA65,COLUMNS(Source!$X$2:AB65)),"")</f>
        <v>389</v>
      </c>
      <c r="F80" s="8" t="str">
        <f>IFERROR(INDEX(Source!$A$2:$S$86,Source!$AA65,COLUMNS(Source!$X$2:AC65)),"")</f>
        <v>PC + TEL + GSM</v>
      </c>
      <c r="G80" s="8" t="str">
        <f>IFERROR(INDEX(Source!$A$2:$S$86,Source!$AA65,COLUMNS(Source!$X$2:AD65)),"")</f>
        <v>Bino</v>
      </c>
      <c r="H80" s="8" t="str">
        <f>IFERROR(INDEX(Source!$A$2:$S$86,Source!$AA65,COLUMNS(Source!$X$2:AE65)),"")</f>
        <v>120m</v>
      </c>
      <c r="I80" s="8" t="str">
        <f>IFERROR(INDEX(Source!$A$2:$S$86,Source!$AA65,COLUMNS(Source!$X$2:AF65)),"")</f>
        <v>9h</v>
      </c>
      <c r="J80" s="40" t="str">
        <f>IFERROR(INDEX(Source!$A$2:$S$86,Source!$AA65,COLUMNS(Source!$X$2:AG65)),"")</f>
        <v>50h</v>
      </c>
      <c r="K80" s="40">
        <f>IFERROR(INDEX(Source!$A$2:$S$86,Source!$AA65,COLUMNS(Source!$X$2:AH65)),"")</f>
        <v>0</v>
      </c>
      <c r="L80" s="40">
        <f>IFERROR(INDEX(Source!$A$2:$S$86,Source!$AA65,COLUMNS(Source!$X$2:AI65)),"")</f>
        <v>0</v>
      </c>
      <c r="M80" s="40">
        <f>IFERROR(INDEX(Source!$A$2:$S$86,Source!$AA65,COLUMNS(Source!$X$2:AJ65)),"")</f>
        <v>0</v>
      </c>
      <c r="N80" s="40">
        <f>IFERROR(INDEX(Source!$A$2:$S$86,Source!$AA65,COLUMNS(Source!$X$2:AK65)),"")</f>
        <v>0</v>
      </c>
      <c r="O80" s="40">
        <f>IFERROR(INDEX(Source!$A$2:$S$86,Source!$AA65,COLUMNS(Source!$X$2:AL65)),"")</f>
        <v>0</v>
      </c>
      <c r="P80" s="40" t="str">
        <f>IFERROR(INDEX(Source!$A$2:$S$86,Source!$AA65,COLUMNS(Source!$X$2:AM65)),"")</f>
        <v>94g</v>
      </c>
      <c r="Q80" s="40" t="str">
        <f>IFERROR(INDEX(Source!$A$2:$S$86,Source!$AA65,COLUMNS(Source!$X$2:AN65)),"")</f>
        <v>Oui</v>
      </c>
      <c r="R80" s="40">
        <f>IFERROR(INDEX(Source!$A$2:$S$86,Source!$AA65,COLUMNS(Source!$X$2:AO65)),"")</f>
        <v>0</v>
      </c>
      <c r="S80" s="40" t="str">
        <f>IFERROR(INDEX(Source!$A$2:$S$86,Source!$AA65,COLUMNS(Source!$X$2:AP65)),"")</f>
        <v>2 ans</v>
      </c>
    </row>
    <row r="81" spans="1:19" x14ac:dyDescent="0.25">
      <c r="A81" s="8" t="str">
        <f>IFERROR(INDEX(Source!$A$2:$S$86,Source!$AA66,COLUMNS(Source!$X$2:X66)),"")</f>
        <v>PLANTRONICS</v>
      </c>
      <c r="B81" s="8" t="str">
        <f>IFERROR(INDEX(Source!$A$2:$S$86,Source!$AA66,COLUMNS(Source!$X$2:Y66)),"")</f>
        <v>SAVI W730</v>
      </c>
      <c r="C81" s="8" t="str">
        <f>IFERROR(INDEX(Source!$A$2:$S$86,Source!$AA66,COLUMNS(Source!$X$2:Z66)),"")</f>
        <v>Sans Fil</v>
      </c>
      <c r="D81" s="8" t="str">
        <f>IFERROR(INDEX(Source!$A$2:$S$86,Source!$AA66,COLUMNS(Source!$X$2:AA66)),"")</f>
        <v>83543-12</v>
      </c>
      <c r="E81" s="18">
        <f>IFERROR(INDEX(Source!$A$2:$S$86,Source!$AA66,COLUMNS(Source!$X$2:AB66)),"")</f>
        <v>359</v>
      </c>
      <c r="F81" s="8" t="str">
        <f>IFERROR(INDEX(Source!$A$2:$S$86,Source!$AA66,COLUMNS(Source!$X$2:AC66)),"")</f>
        <v>PC + TEL + GSM</v>
      </c>
      <c r="G81" s="8" t="str">
        <f>IFERROR(INDEX(Source!$A$2:$S$86,Source!$AA66,COLUMNS(Source!$X$2:AD66)),"")</f>
        <v>Mono</v>
      </c>
      <c r="H81" s="8" t="str">
        <f>IFERROR(INDEX(Source!$A$2:$S$86,Source!$AA66,COLUMNS(Source!$X$2:AE66)),"")</f>
        <v>120m</v>
      </c>
      <c r="I81" s="8" t="str">
        <f>IFERROR(INDEX(Source!$A$2:$S$86,Source!$AA66,COLUMNS(Source!$X$2:AF66)),"")</f>
        <v>7h</v>
      </c>
      <c r="J81" s="40" t="str">
        <f>IFERROR(INDEX(Source!$A$2:$S$86,Source!$AA66,COLUMNS(Source!$X$2:AG66)),"")</f>
        <v>40h</v>
      </c>
      <c r="K81" s="40">
        <f>IFERROR(INDEX(Source!$A$2:$S$86,Source!$AA66,COLUMNS(Source!$X$2:AH66)),"")</f>
        <v>0</v>
      </c>
      <c r="L81" s="40">
        <f>IFERROR(INDEX(Source!$A$2:$S$86,Source!$AA66,COLUMNS(Source!$X$2:AI66)),"")</f>
        <v>0</v>
      </c>
      <c r="M81" s="40">
        <f>IFERROR(INDEX(Source!$A$2:$S$86,Source!$AA66,COLUMNS(Source!$X$2:AJ66)),"")</f>
        <v>0</v>
      </c>
      <c r="N81" s="40">
        <f>IFERROR(INDEX(Source!$A$2:$S$86,Source!$AA66,COLUMNS(Source!$X$2:AK66)),"")</f>
        <v>0</v>
      </c>
      <c r="O81" s="40">
        <f>IFERROR(INDEX(Source!$A$2:$S$86,Source!$AA66,COLUMNS(Source!$X$2:AL66)),"")</f>
        <v>0</v>
      </c>
      <c r="P81" s="40" t="str">
        <f>IFERROR(INDEX(Source!$A$2:$S$86,Source!$AA66,COLUMNS(Source!$X$2:AM66)),"")</f>
        <v>25g</v>
      </c>
      <c r="Q81" s="40" t="str">
        <f>IFERROR(INDEX(Source!$A$2:$S$86,Source!$AA66,COLUMNS(Source!$X$2:AN66)),"")</f>
        <v>Non</v>
      </c>
      <c r="R81" s="40">
        <f>IFERROR(INDEX(Source!$A$2:$S$86,Source!$AA66,COLUMNS(Source!$X$2:AO66)),"")</f>
        <v>0</v>
      </c>
      <c r="S81" s="40" t="str">
        <f>IFERROR(INDEX(Source!$A$2:$S$86,Source!$AA66,COLUMNS(Source!$X$2:AP66)),"")</f>
        <v>2 ans</v>
      </c>
    </row>
    <row r="82" spans="1:19" x14ac:dyDescent="0.25">
      <c r="A82" s="8" t="str">
        <f>IFERROR(INDEX(Source!$A$2:$S$86,Source!$AA67,COLUMNS(Source!$X$2:X67)),"")</f>
        <v>PLANTRONICS</v>
      </c>
      <c r="B82" s="8" t="str">
        <f>IFERROR(INDEX(Source!$A$2:$S$86,Source!$AA67,COLUMNS(Source!$X$2:Y67)),"")</f>
        <v>SAVI W730   - M</v>
      </c>
      <c r="C82" s="8" t="str">
        <f>IFERROR(INDEX(Source!$A$2:$S$86,Source!$AA67,COLUMNS(Source!$X$2:Z67)),"")</f>
        <v>Sans Fil</v>
      </c>
      <c r="D82" s="8" t="str">
        <f>IFERROR(INDEX(Source!$A$2:$S$86,Source!$AA67,COLUMNS(Source!$X$2:AA67)),"")</f>
        <v>84002-12</v>
      </c>
      <c r="E82" s="18">
        <f>IFERROR(INDEX(Source!$A$2:$S$86,Source!$AA67,COLUMNS(Source!$X$2:AB67)),"")</f>
        <v>359</v>
      </c>
      <c r="F82" s="8" t="str">
        <f>IFERROR(INDEX(Source!$A$2:$S$86,Source!$AA67,COLUMNS(Source!$X$2:AC67)),"")</f>
        <v>PC + TEL + GSM</v>
      </c>
      <c r="G82" s="8" t="str">
        <f>IFERROR(INDEX(Source!$A$2:$S$86,Source!$AA67,COLUMNS(Source!$X$2:AD67)),"")</f>
        <v>Mono</v>
      </c>
      <c r="H82" s="8" t="str">
        <f>IFERROR(INDEX(Source!$A$2:$S$86,Source!$AA67,COLUMNS(Source!$X$2:AE67)),"")</f>
        <v>120m</v>
      </c>
      <c r="I82" s="8" t="str">
        <f>IFERROR(INDEX(Source!$A$2:$S$86,Source!$AA67,COLUMNS(Source!$X$2:AF67)),"")</f>
        <v>7h</v>
      </c>
      <c r="J82" s="40" t="str">
        <f>IFERROR(INDEX(Source!$A$2:$S$86,Source!$AA67,COLUMNS(Source!$X$2:AG67)),"")</f>
        <v>40h</v>
      </c>
      <c r="K82" s="40">
        <f>IFERROR(INDEX(Source!$A$2:$S$86,Source!$AA67,COLUMNS(Source!$X$2:AH67)),"")</f>
        <v>0</v>
      </c>
      <c r="L82" s="40">
        <f>IFERROR(INDEX(Source!$A$2:$S$86,Source!$AA67,COLUMNS(Source!$X$2:AI67)),"")</f>
        <v>0</v>
      </c>
      <c r="M82" s="40">
        <f>IFERROR(INDEX(Source!$A$2:$S$86,Source!$AA67,COLUMNS(Source!$X$2:AJ67)),"")</f>
        <v>0</v>
      </c>
      <c r="N82" s="40">
        <f>IFERROR(INDEX(Source!$A$2:$S$86,Source!$AA67,COLUMNS(Source!$X$2:AK67)),"")</f>
        <v>0</v>
      </c>
      <c r="O82" s="40">
        <f>IFERROR(INDEX(Source!$A$2:$S$86,Source!$AA67,COLUMNS(Source!$X$2:AL67)),"")</f>
        <v>0</v>
      </c>
      <c r="P82" s="40" t="str">
        <f>IFERROR(INDEX(Source!$A$2:$S$86,Source!$AA67,COLUMNS(Source!$X$2:AM67)),"")</f>
        <v>25g</v>
      </c>
      <c r="Q82" s="40" t="str">
        <f>IFERROR(INDEX(Source!$A$2:$S$86,Source!$AA67,COLUMNS(Source!$X$2:AN67)),"")</f>
        <v>Oui</v>
      </c>
      <c r="R82" s="40">
        <f>IFERROR(INDEX(Source!$A$2:$S$86,Source!$AA67,COLUMNS(Source!$X$2:AO67)),"")</f>
        <v>0</v>
      </c>
      <c r="S82" s="40" t="str">
        <f>IFERROR(INDEX(Source!$A$2:$S$86,Source!$AA67,COLUMNS(Source!$X$2:AP67)),"")</f>
        <v>2 ans</v>
      </c>
    </row>
    <row r="83" spans="1:19" x14ac:dyDescent="0.25">
      <c r="A83" s="8" t="str">
        <f>IFERROR(INDEX(Source!$A$2:$S$86,Source!$AA68,COLUMNS(Source!$X$2:X68)),"")</f>
        <v>PLANTRONICS</v>
      </c>
      <c r="B83" s="8" t="str">
        <f>IFERROR(INDEX(Source!$A$2:$S$86,Source!$AA68,COLUMNS(Source!$X$2:Y68)),"")</f>
        <v>SAVI W740</v>
      </c>
      <c r="C83" s="8" t="str">
        <f>IFERROR(INDEX(Source!$A$2:$S$86,Source!$AA68,COLUMNS(Source!$X$2:Z68)),"")</f>
        <v>Sans Fil</v>
      </c>
      <c r="D83" s="8" t="str">
        <f>IFERROR(INDEX(Source!$A$2:$S$86,Source!$AA68,COLUMNS(Source!$X$2:AA68)),"")</f>
        <v>83542-12</v>
      </c>
      <c r="E83" s="18">
        <f>IFERROR(INDEX(Source!$A$2:$S$86,Source!$AA68,COLUMNS(Source!$X$2:AB68)),"")</f>
        <v>359</v>
      </c>
      <c r="F83" s="8" t="str">
        <f>IFERROR(INDEX(Source!$A$2:$S$86,Source!$AA68,COLUMNS(Source!$X$2:AC68)),"")</f>
        <v>PC + TEL + GSM</v>
      </c>
      <c r="G83" s="8" t="str">
        <f>IFERROR(INDEX(Source!$A$2:$S$86,Source!$AA68,COLUMNS(Source!$X$2:AD68)),"")</f>
        <v>Mono</v>
      </c>
      <c r="H83" s="8" t="str">
        <f>IFERROR(INDEX(Source!$A$2:$S$86,Source!$AA68,COLUMNS(Source!$X$2:AE68)),"")</f>
        <v>120m</v>
      </c>
      <c r="I83" s="8" t="str">
        <f>IFERROR(INDEX(Source!$A$2:$S$86,Source!$AA68,COLUMNS(Source!$X$2:AF68)),"")</f>
        <v>7h</v>
      </c>
      <c r="J83" s="40" t="str">
        <f>IFERROR(INDEX(Source!$A$2:$S$86,Source!$AA68,COLUMNS(Source!$X$2:AG68)),"")</f>
        <v>50h</v>
      </c>
      <c r="K83" s="40">
        <f>IFERROR(INDEX(Source!$A$2:$S$86,Source!$AA68,COLUMNS(Source!$X$2:AH68)),"")</f>
        <v>0</v>
      </c>
      <c r="L83" s="40">
        <f>IFERROR(INDEX(Source!$A$2:$S$86,Source!$AA68,COLUMNS(Source!$X$2:AI68)),"")</f>
        <v>0</v>
      </c>
      <c r="M83" s="40">
        <f>IFERROR(INDEX(Source!$A$2:$S$86,Source!$AA68,COLUMNS(Source!$X$2:AJ68)),"")</f>
        <v>0</v>
      </c>
      <c r="N83" s="40">
        <f>IFERROR(INDEX(Source!$A$2:$S$86,Source!$AA68,COLUMNS(Source!$X$2:AK68)),"")</f>
        <v>0</v>
      </c>
      <c r="O83" s="40">
        <f>IFERROR(INDEX(Source!$A$2:$S$86,Source!$AA68,COLUMNS(Source!$X$2:AL68)),"")</f>
        <v>0</v>
      </c>
      <c r="P83" s="40" t="str">
        <f>IFERROR(INDEX(Source!$A$2:$S$86,Source!$AA68,COLUMNS(Source!$X$2:AM68)),"")</f>
        <v>21g</v>
      </c>
      <c r="Q83" s="40" t="str">
        <f>IFERROR(INDEX(Source!$A$2:$S$86,Source!$AA68,COLUMNS(Source!$X$2:AN68)),"")</f>
        <v>Non</v>
      </c>
      <c r="R83" s="40">
        <f>IFERROR(INDEX(Source!$A$2:$S$86,Source!$AA68,COLUMNS(Source!$X$2:AO68)),"")</f>
        <v>0</v>
      </c>
      <c r="S83" s="40" t="str">
        <f>IFERROR(INDEX(Source!$A$2:$S$86,Source!$AA68,COLUMNS(Source!$X$2:AP68)),"")</f>
        <v>2 ans</v>
      </c>
    </row>
    <row r="84" spans="1:19" x14ac:dyDescent="0.25">
      <c r="A84" s="8" t="str">
        <f>IFERROR(INDEX(Source!$A$2:$S$86,Source!$AA69,COLUMNS(Source!$X$2:X69)),"")</f>
        <v>PLANTRONICS</v>
      </c>
      <c r="B84" s="8" t="str">
        <f>IFERROR(INDEX(Source!$A$2:$S$86,Source!$AA69,COLUMNS(Source!$X$2:Y69)),"")</f>
        <v>SAVI W740 -   M</v>
      </c>
      <c r="C84" s="8" t="str">
        <f>IFERROR(INDEX(Source!$A$2:$S$86,Source!$AA69,COLUMNS(Source!$X$2:Z69)),"")</f>
        <v>Sans Fil</v>
      </c>
      <c r="D84" s="8" t="str">
        <f>IFERROR(INDEX(Source!$A$2:$S$86,Source!$AA69,COLUMNS(Source!$X$2:AA69)),"")</f>
        <v>84001-12</v>
      </c>
      <c r="E84" s="18">
        <f>IFERROR(INDEX(Source!$A$2:$S$86,Source!$AA69,COLUMNS(Source!$X$2:AB69)),"")</f>
        <v>359</v>
      </c>
      <c r="F84" s="8" t="str">
        <f>IFERROR(INDEX(Source!$A$2:$S$86,Source!$AA69,COLUMNS(Source!$X$2:AC69)),"")</f>
        <v>PC + TEL + GSM</v>
      </c>
      <c r="G84" s="8" t="str">
        <f>IFERROR(INDEX(Source!$A$2:$S$86,Source!$AA69,COLUMNS(Source!$X$2:AD69)),"")</f>
        <v>Mono</v>
      </c>
      <c r="H84" s="8" t="str">
        <f>IFERROR(INDEX(Source!$A$2:$S$86,Source!$AA69,COLUMNS(Source!$X$2:AE69)),"")</f>
        <v>120m</v>
      </c>
      <c r="I84" s="8" t="str">
        <f>IFERROR(INDEX(Source!$A$2:$S$86,Source!$AA69,COLUMNS(Source!$X$2:AF69)),"")</f>
        <v>7h</v>
      </c>
      <c r="J84" s="40" t="str">
        <f>IFERROR(INDEX(Source!$A$2:$S$86,Source!$AA69,COLUMNS(Source!$X$2:AG69)),"")</f>
        <v>50h</v>
      </c>
      <c r="K84" s="40">
        <f>IFERROR(INDEX(Source!$A$2:$S$86,Source!$AA69,COLUMNS(Source!$X$2:AH69)),"")</f>
        <v>0</v>
      </c>
      <c r="L84" s="40">
        <f>IFERROR(INDEX(Source!$A$2:$S$86,Source!$AA69,COLUMNS(Source!$X$2:AI69)),"")</f>
        <v>0</v>
      </c>
      <c r="M84" s="40">
        <f>IFERROR(INDEX(Source!$A$2:$S$86,Source!$AA69,COLUMNS(Source!$X$2:AJ69)),"")</f>
        <v>0</v>
      </c>
      <c r="N84" s="40">
        <f>IFERROR(INDEX(Source!$A$2:$S$86,Source!$AA69,COLUMNS(Source!$X$2:AK69)),"")</f>
        <v>0</v>
      </c>
      <c r="O84" s="40">
        <f>IFERROR(INDEX(Source!$A$2:$S$86,Source!$AA69,COLUMNS(Source!$X$2:AL69)),"")</f>
        <v>0</v>
      </c>
      <c r="P84" s="40" t="str">
        <f>IFERROR(INDEX(Source!$A$2:$S$86,Source!$AA69,COLUMNS(Source!$X$2:AM69)),"")</f>
        <v>21g</v>
      </c>
      <c r="Q84" s="40" t="str">
        <f>IFERROR(INDEX(Source!$A$2:$S$86,Source!$AA69,COLUMNS(Source!$X$2:AN69)),"")</f>
        <v>Oui</v>
      </c>
      <c r="R84" s="40">
        <f>IFERROR(INDEX(Source!$A$2:$S$86,Source!$AA69,COLUMNS(Source!$X$2:AO69)),"")</f>
        <v>0</v>
      </c>
      <c r="S84" s="40" t="str">
        <f>IFERROR(INDEX(Source!$A$2:$S$86,Source!$AA69,COLUMNS(Source!$X$2:AP69)),"")</f>
        <v>2 ans</v>
      </c>
    </row>
    <row r="85" spans="1:19" x14ac:dyDescent="0.25">
      <c r="A85" s="8" t="str">
        <f>IFERROR(INDEX(Source!$A$2:$S$86,Source!$AA70,COLUMNS(Source!$X$2:X70)),"")</f>
        <v>JABRA</v>
      </c>
      <c r="B85" s="8" t="str">
        <f>IFERROR(INDEX(Source!$A$2:$S$86,Source!$AA70,COLUMNS(Source!$X$2:Y70)),"")</f>
        <v>PRO™ 9460 MONO</v>
      </c>
      <c r="C85" s="8" t="str">
        <f>IFERROR(INDEX(Source!$A$2:$S$86,Source!$AA70,COLUMNS(Source!$X$2:Z70)),"")</f>
        <v>Sans Fil</v>
      </c>
      <c r="D85" s="8" t="str">
        <f>IFERROR(INDEX(Source!$A$2:$S$86,Source!$AA70,COLUMNS(Source!$X$2:AA70)),"")</f>
        <v>9460-25-707-101</v>
      </c>
      <c r="E85" s="18">
        <f>IFERROR(INDEX(Source!$A$2:$S$86,Source!$AA70,COLUMNS(Source!$X$2:AB70)),"")</f>
        <v>349</v>
      </c>
      <c r="F85" s="8" t="str">
        <f>IFERROR(INDEX(Source!$A$2:$S$86,Source!$AA70,COLUMNS(Source!$X$2:AC70)),"")</f>
        <v>PC + TEL</v>
      </c>
      <c r="G85" s="8" t="str">
        <f>IFERROR(INDEX(Source!$A$2:$S$86,Source!$AA70,COLUMNS(Source!$X$2:AD70)),"")</f>
        <v>Mono</v>
      </c>
      <c r="H85" s="8" t="str">
        <f>IFERROR(INDEX(Source!$A$2:$S$86,Source!$AA70,COLUMNS(Source!$X$2:AE70)),"")</f>
        <v>120m</v>
      </c>
      <c r="I85" s="8" t="str">
        <f>IFERROR(INDEX(Source!$A$2:$S$86,Source!$AA70,COLUMNS(Source!$X$2:AF70)),"")</f>
        <v>10h</v>
      </c>
      <c r="J85" s="40" t="str">
        <f>IFERROR(INDEX(Source!$A$2:$S$86,Source!$AA70,COLUMNS(Source!$X$2:AG70)),"")</f>
        <v>38h</v>
      </c>
      <c r="K85" s="40" t="str">
        <f>IFERROR(INDEX(Source!$A$2:$S$86,Source!$AA70,COLUMNS(Source!$X$2:AH70)),"")</f>
        <v>Serre-tête -  Contour d'oreille</v>
      </c>
      <c r="L85" s="40">
        <f>IFERROR(INDEX(Source!$A$2:$S$86,Source!$AA70,COLUMNS(Source!$X$2:AI70)),"")</f>
        <v>0</v>
      </c>
      <c r="M85" s="40" t="str">
        <f>IFERROR(INDEX(Source!$A$2:$S$86,Source!$AA70,COLUMNS(Source!$X$2:AJ70)),"")</f>
        <v>Oui</v>
      </c>
      <c r="N85" s="40">
        <f>IFERROR(INDEX(Source!$A$2:$S$86,Source!$AA70,COLUMNS(Source!$X$2:AK70)),"")</f>
        <v>0</v>
      </c>
      <c r="O85" s="40">
        <f>IFERROR(INDEX(Source!$A$2:$S$86,Source!$AA70,COLUMNS(Source!$X$2:AL70)),"")</f>
        <v>0</v>
      </c>
      <c r="P85" s="40" t="str">
        <f>IFERROR(INDEX(Source!$A$2:$S$86,Source!$AA70,COLUMNS(Source!$X$2:AM70)),"")</f>
        <v>31g</v>
      </c>
      <c r="Q85" s="40" t="str">
        <f>IFERROR(INDEX(Source!$A$2:$S$86,Source!$AA70,COLUMNS(Source!$X$2:AN70)),"")</f>
        <v>Non</v>
      </c>
      <c r="R85" s="40" t="str">
        <f>IFERROR(INDEX(Source!$A$2:$S$86,Source!$AA70,COLUMNS(Source!$X$2:AO70)),"")</f>
        <v>Contour de nuque</v>
      </c>
      <c r="S85" s="40" t="str">
        <f>IFERROR(INDEX(Source!$A$2:$S$86,Source!$AA70,COLUMNS(Source!$X$2:AP70)),"")</f>
        <v>2 ans</v>
      </c>
    </row>
    <row r="86" spans="1:19" x14ac:dyDescent="0.25">
      <c r="A86" s="8" t="str">
        <f>IFERROR(INDEX(Source!$A$2:$S$86,Source!$AA71,COLUMNS(Source!$X$2:X71)),"")</f>
        <v>JABRA</v>
      </c>
      <c r="B86" s="8" t="str">
        <f>IFERROR(INDEX(Source!$A$2:$S$86,Source!$AA71,COLUMNS(Source!$X$2:Y71)),"")</f>
        <v xml:space="preserve"> PRO™ 9460 DUO</v>
      </c>
      <c r="C86" s="8" t="str">
        <f>IFERROR(INDEX(Source!$A$2:$S$86,Source!$AA71,COLUMNS(Source!$X$2:Z71)),"")</f>
        <v>Sans Fil</v>
      </c>
      <c r="D86" s="8" t="str">
        <f>IFERROR(INDEX(Source!$A$2:$S$86,Source!$AA71,COLUMNS(Source!$X$2:AA71)),"")</f>
        <v>9460-29-707-101</v>
      </c>
      <c r="E86" s="18">
        <f>IFERROR(INDEX(Source!$A$2:$S$86,Source!$AA71,COLUMNS(Source!$X$2:AB71)),"")</f>
        <v>369</v>
      </c>
      <c r="F86" s="8" t="str">
        <f>IFERROR(INDEX(Source!$A$2:$S$86,Source!$AA71,COLUMNS(Source!$X$2:AC71)),"")</f>
        <v>PC + TEL</v>
      </c>
      <c r="G86" s="8" t="str">
        <f>IFERROR(INDEX(Source!$A$2:$S$86,Source!$AA71,COLUMNS(Source!$X$2:AD71)),"")</f>
        <v>Bino</v>
      </c>
      <c r="H86" s="8" t="str">
        <f>IFERROR(INDEX(Source!$A$2:$S$86,Source!$AA71,COLUMNS(Source!$X$2:AE71)),"")</f>
        <v>120m</v>
      </c>
      <c r="I86" s="8" t="str">
        <f>IFERROR(INDEX(Source!$A$2:$S$86,Source!$AA71,COLUMNS(Source!$X$2:AF71)),"")</f>
        <v>10h</v>
      </c>
      <c r="J86" s="40" t="str">
        <f>IFERROR(INDEX(Source!$A$2:$S$86,Source!$AA71,COLUMNS(Source!$X$2:AG71)),"")</f>
        <v>38h</v>
      </c>
      <c r="K86" s="40" t="str">
        <f>IFERROR(INDEX(Source!$A$2:$S$86,Source!$AA71,COLUMNS(Source!$X$2:AH71)),"")</f>
        <v>Serre-tête</v>
      </c>
      <c r="L86" s="40">
        <f>IFERROR(INDEX(Source!$A$2:$S$86,Source!$AA71,COLUMNS(Source!$X$2:AI71)),"")</f>
        <v>0</v>
      </c>
      <c r="M86" s="40" t="str">
        <f>IFERROR(INDEX(Source!$A$2:$S$86,Source!$AA71,COLUMNS(Source!$X$2:AJ71)),"")</f>
        <v>Oui</v>
      </c>
      <c r="N86" s="40">
        <f>IFERROR(INDEX(Source!$A$2:$S$86,Source!$AA71,COLUMNS(Source!$X$2:AK71)),"")</f>
        <v>0</v>
      </c>
      <c r="O86" s="40">
        <f>IFERROR(INDEX(Source!$A$2:$S$86,Source!$AA71,COLUMNS(Source!$X$2:AL71)),"")</f>
        <v>0</v>
      </c>
      <c r="P86" s="40" t="str">
        <f>IFERROR(INDEX(Source!$A$2:$S$86,Source!$AA71,COLUMNS(Source!$X$2:AM71)),"")</f>
        <v>34g</v>
      </c>
      <c r="Q86" s="40" t="str">
        <f>IFERROR(INDEX(Source!$A$2:$S$86,Source!$AA71,COLUMNS(Source!$X$2:AN71)),"")</f>
        <v>Non</v>
      </c>
      <c r="R86" s="40" t="str">
        <f>IFERROR(INDEX(Source!$A$2:$S$86,Source!$AA71,COLUMNS(Source!$X$2:AO71)),"")</f>
        <v>Contour de nuque</v>
      </c>
      <c r="S86" s="40" t="str">
        <f>IFERROR(INDEX(Source!$A$2:$S$86,Source!$AA71,COLUMNS(Source!$X$2:AP71)),"")</f>
        <v>2 ans</v>
      </c>
    </row>
    <row r="87" spans="1:19" x14ac:dyDescent="0.25">
      <c r="A87" s="8" t="str">
        <f>IFERROR(INDEX(Source!$A$2:$S$86,Source!$AA72,COLUMNS(Source!$X$2:X72)),"")</f>
        <v>JABRA</v>
      </c>
      <c r="B87" s="8" t="str">
        <f>IFERROR(INDEX(Source!$A$2:$S$86,Source!$AA72,COLUMNS(Source!$X$2:Y72)),"")</f>
        <v>PRO 9450 MONO</v>
      </c>
      <c r="C87" s="8" t="str">
        <f>IFERROR(INDEX(Source!$A$2:$S$86,Source!$AA72,COLUMNS(Source!$X$2:Z72)),"")</f>
        <v>Sans Fil</v>
      </c>
      <c r="D87" s="8" t="str">
        <f>IFERROR(INDEX(Source!$A$2:$S$86,Source!$AA72,COLUMNS(Source!$X$2:AA72)),"")</f>
        <v>9450-25-507-101</v>
      </c>
      <c r="E87" s="18">
        <f>IFERROR(INDEX(Source!$A$2:$S$86,Source!$AA72,COLUMNS(Source!$X$2:AB72)),"")</f>
        <v>329</v>
      </c>
      <c r="F87" s="8" t="str">
        <f>IFERROR(INDEX(Source!$A$2:$S$86,Source!$AA72,COLUMNS(Source!$X$2:AC72)),"")</f>
        <v>PC + TEL</v>
      </c>
      <c r="G87" s="8" t="str">
        <f>IFERROR(INDEX(Source!$A$2:$S$86,Source!$AA72,COLUMNS(Source!$X$2:AD72)),"")</f>
        <v>Mono</v>
      </c>
      <c r="H87" s="8" t="str">
        <f>IFERROR(INDEX(Source!$A$2:$S$86,Source!$AA72,COLUMNS(Source!$X$2:AE72)),"")</f>
        <v>120m</v>
      </c>
      <c r="I87" s="8" t="str">
        <f>IFERROR(INDEX(Source!$A$2:$S$86,Source!$AA72,COLUMNS(Source!$X$2:AF72)),"")</f>
        <v>10h</v>
      </c>
      <c r="J87" s="40" t="str">
        <f>IFERROR(INDEX(Source!$A$2:$S$86,Source!$AA72,COLUMNS(Source!$X$2:AG72)),"")</f>
        <v>46h</v>
      </c>
      <c r="K87" s="40" t="str">
        <f>IFERROR(INDEX(Source!$A$2:$S$86,Source!$AA72,COLUMNS(Source!$X$2:AH72)),"")</f>
        <v>Serre-tête -  Contour d'oreille</v>
      </c>
      <c r="L87" s="40">
        <f>IFERROR(INDEX(Source!$A$2:$S$86,Source!$AA72,COLUMNS(Source!$X$2:AI72)),"")</f>
        <v>0</v>
      </c>
      <c r="M87" s="40" t="str">
        <f>IFERROR(INDEX(Source!$A$2:$S$86,Source!$AA72,COLUMNS(Source!$X$2:AJ72)),"")</f>
        <v>Oui</v>
      </c>
      <c r="N87" s="40">
        <f>IFERROR(INDEX(Source!$A$2:$S$86,Source!$AA72,COLUMNS(Source!$X$2:AK72)),"")</f>
        <v>0</v>
      </c>
      <c r="O87" s="40">
        <f>IFERROR(INDEX(Source!$A$2:$S$86,Source!$AA72,COLUMNS(Source!$X$2:AL72)),"")</f>
        <v>0</v>
      </c>
      <c r="P87" s="40" t="str">
        <f>IFERROR(INDEX(Source!$A$2:$S$86,Source!$AA72,COLUMNS(Source!$X$2:AM72)),"")</f>
        <v>28g</v>
      </c>
      <c r="Q87" s="40" t="str">
        <f>IFERROR(INDEX(Source!$A$2:$S$86,Source!$AA72,COLUMNS(Source!$X$2:AN72)),"")</f>
        <v>Non</v>
      </c>
      <c r="R87" s="40" t="str">
        <f>IFERROR(INDEX(Source!$A$2:$S$86,Source!$AA72,COLUMNS(Source!$X$2:AO72)),"")</f>
        <v>Contour de nuque</v>
      </c>
      <c r="S87" s="40" t="str">
        <f>IFERROR(INDEX(Source!$A$2:$S$86,Source!$AA72,COLUMNS(Source!$X$2:AP72)),"")</f>
        <v>2 ans</v>
      </c>
    </row>
    <row r="88" spans="1:19" x14ac:dyDescent="0.25">
      <c r="A88" s="8" t="str">
        <f>IFERROR(INDEX(Source!$A$2:$S$86,Source!$AA73,COLUMNS(Source!$X$2:X73)),"")</f>
        <v>JABRA</v>
      </c>
      <c r="B88" s="8" t="str">
        <f>IFERROR(INDEX(Source!$A$2:$S$86,Source!$AA73,COLUMNS(Source!$X$2:Y73)),"")</f>
        <v>PRO 9450      DUO</v>
      </c>
      <c r="C88" s="8" t="str">
        <f>IFERROR(INDEX(Source!$A$2:$S$86,Source!$AA73,COLUMNS(Source!$X$2:Z73)),"")</f>
        <v>Sans Fil</v>
      </c>
      <c r="D88" s="8" t="str">
        <f>IFERROR(INDEX(Source!$A$2:$S$86,Source!$AA73,COLUMNS(Source!$X$2:AA73)),"")</f>
        <v>9450-29-707-101</v>
      </c>
      <c r="E88" s="18">
        <f>IFERROR(INDEX(Source!$A$2:$S$86,Source!$AA73,COLUMNS(Source!$X$2:AB73)),"")</f>
        <v>350</v>
      </c>
      <c r="F88" s="8" t="str">
        <f>IFERROR(INDEX(Source!$A$2:$S$86,Source!$AA73,COLUMNS(Source!$X$2:AC73)),"")</f>
        <v>PC + TEL</v>
      </c>
      <c r="G88" s="8" t="str">
        <f>IFERROR(INDEX(Source!$A$2:$S$86,Source!$AA73,COLUMNS(Source!$X$2:AD73)),"")</f>
        <v>Bino</v>
      </c>
      <c r="H88" s="8" t="str">
        <f>IFERROR(INDEX(Source!$A$2:$S$86,Source!$AA73,COLUMNS(Source!$X$2:AE73)),"")</f>
        <v>120m</v>
      </c>
      <c r="I88" s="8" t="str">
        <f>IFERROR(INDEX(Source!$A$2:$S$86,Source!$AA73,COLUMNS(Source!$X$2:AF73)),"")</f>
        <v>10h</v>
      </c>
      <c r="J88" s="40" t="str">
        <f>IFERROR(INDEX(Source!$A$2:$S$86,Source!$AA73,COLUMNS(Source!$X$2:AG73)),"")</f>
        <v>46h</v>
      </c>
      <c r="K88" s="40" t="str">
        <f>IFERROR(INDEX(Source!$A$2:$S$86,Source!$AA73,COLUMNS(Source!$X$2:AH73)),"")</f>
        <v>Serre-tête</v>
      </c>
      <c r="L88" s="40">
        <f>IFERROR(INDEX(Source!$A$2:$S$86,Source!$AA73,COLUMNS(Source!$X$2:AI73)),"")</f>
        <v>0</v>
      </c>
      <c r="M88" s="40" t="str">
        <f>IFERROR(INDEX(Source!$A$2:$S$86,Source!$AA73,COLUMNS(Source!$X$2:AJ73)),"")</f>
        <v>Oui</v>
      </c>
      <c r="N88" s="40">
        <f>IFERROR(INDEX(Source!$A$2:$S$86,Source!$AA73,COLUMNS(Source!$X$2:AK73)),"")</f>
        <v>0</v>
      </c>
      <c r="O88" s="40">
        <f>IFERROR(INDEX(Source!$A$2:$S$86,Source!$AA73,COLUMNS(Source!$X$2:AL73)),"")</f>
        <v>0</v>
      </c>
      <c r="P88" s="40" t="str">
        <f>IFERROR(INDEX(Source!$A$2:$S$86,Source!$AA73,COLUMNS(Source!$X$2:AM73)),"")</f>
        <v>28g</v>
      </c>
      <c r="Q88" s="40" t="str">
        <f>IFERROR(INDEX(Source!$A$2:$S$86,Source!$AA73,COLUMNS(Source!$X$2:AN73)),"")</f>
        <v>Non</v>
      </c>
      <c r="R88" s="40" t="str">
        <f>IFERROR(INDEX(Source!$A$2:$S$86,Source!$AA73,COLUMNS(Source!$X$2:AO73)),"")</f>
        <v>Contour de nuque</v>
      </c>
      <c r="S88" s="40" t="str">
        <f>IFERROR(INDEX(Source!$A$2:$S$86,Source!$AA73,COLUMNS(Source!$X$2:AP73)),"")</f>
        <v>2 ans</v>
      </c>
    </row>
    <row r="89" spans="1:19" x14ac:dyDescent="0.25">
      <c r="A89" s="8" t="str">
        <f>IFERROR(INDEX(Source!$A$2:$S$86,Source!$AA74,COLUMNS(Source!$X$2:X74)),"")</f>
        <v>SENNHEISER</v>
      </c>
      <c r="B89" s="8" t="str">
        <f>IFERROR(INDEX(Source!$A$2:$S$86,Source!$AA74,COLUMNS(Source!$X$2:Y74)),"")</f>
        <v>DW Office</v>
      </c>
      <c r="C89" s="8" t="str">
        <f>IFERROR(INDEX(Source!$A$2:$S$86,Source!$AA74,COLUMNS(Source!$X$2:Z74)),"")</f>
        <v>Sans Fil</v>
      </c>
      <c r="D89" s="8">
        <f>IFERROR(INDEX(Source!$A$2:$S$86,Source!$AA74,COLUMNS(Source!$X$2:AA74)),"")</f>
        <v>504300</v>
      </c>
      <c r="E89" s="18">
        <f>IFERROR(INDEX(Source!$A$2:$S$86,Source!$AA74,COLUMNS(Source!$X$2:AB74)),"")</f>
        <v>349</v>
      </c>
      <c r="F89" s="8" t="str">
        <f>IFERROR(INDEX(Source!$A$2:$S$86,Source!$AA74,COLUMNS(Source!$X$2:AC74)),"")</f>
        <v>PC + TEL</v>
      </c>
      <c r="G89" s="8" t="str">
        <f>IFERROR(INDEX(Source!$A$2:$S$86,Source!$AA74,COLUMNS(Source!$X$2:AD74)),"")</f>
        <v>Mono</v>
      </c>
      <c r="H89" s="8" t="str">
        <f>IFERROR(INDEX(Source!$A$2:$S$86,Source!$AA74,COLUMNS(Source!$X$2:AE74)),"")</f>
        <v>120m</v>
      </c>
      <c r="I89" s="8" t="str">
        <f>IFERROR(INDEX(Source!$A$2:$S$86,Source!$AA74,COLUMNS(Source!$X$2:AF74)),"")</f>
        <v>10h</v>
      </c>
      <c r="J89" s="40" t="str">
        <f>IFERROR(INDEX(Source!$A$2:$S$86,Source!$AA74,COLUMNS(Source!$X$2:AG74)),"")</f>
        <v>100h</v>
      </c>
      <c r="K89" s="40" t="str">
        <f>IFERROR(INDEX(Source!$A$2:$S$86,Source!$AA74,COLUMNS(Source!$X$2:AH74)),"")</f>
        <v>Serre-tête -  Contour d'oreille</v>
      </c>
      <c r="L89" s="40" t="str">
        <f>IFERROR(INDEX(Source!$A$2:$S$86,Source!$AA74,COLUMNS(Source!$X$2:AI74)),"")</f>
        <v>4 casques sur même base</v>
      </c>
      <c r="M89" s="40" t="str">
        <f>IFERROR(INDEX(Source!$A$2:$S$86,Source!$AA74,COLUMNS(Source!$X$2:AJ74)),"")</f>
        <v>Non</v>
      </c>
      <c r="N89" s="40">
        <f>IFERROR(INDEX(Source!$A$2:$S$86,Source!$AA74,COLUMNS(Source!$X$2:AK74)),"")</f>
        <v>0</v>
      </c>
      <c r="O89" s="40">
        <f>IFERROR(INDEX(Source!$A$2:$S$86,Source!$AA74,COLUMNS(Source!$X$2:AL74)),"")</f>
        <v>0</v>
      </c>
      <c r="P89" s="40" t="str">
        <f>IFERROR(INDEX(Source!$A$2:$S$86,Source!$AA74,COLUMNS(Source!$X$2:AM74)),"")</f>
        <v>50g</v>
      </c>
      <c r="Q89" s="40" t="str">
        <f>IFERROR(INDEX(Source!$A$2:$S$86,Source!$AA74,COLUMNS(Source!$X$2:AN74)),"")</f>
        <v>Non</v>
      </c>
      <c r="R89" s="40">
        <f>IFERROR(INDEX(Source!$A$2:$S$86,Source!$AA74,COLUMNS(Source!$X$2:AO74)),"")</f>
        <v>0</v>
      </c>
      <c r="S89" s="40" t="str">
        <f>IFERROR(INDEX(Source!$A$2:$S$86,Source!$AA74,COLUMNS(Source!$X$2:AP74)),"")</f>
        <v>2 ans</v>
      </c>
    </row>
    <row r="90" spans="1:19" x14ac:dyDescent="0.25">
      <c r="A90" s="8" t="str">
        <f>IFERROR(INDEX(Source!$A$2:$S$86,Source!$AA75,COLUMNS(Source!$X$2:X75)),"")</f>
        <v>SENNHEISER</v>
      </c>
      <c r="B90" s="8" t="str">
        <f>IFERROR(INDEX(Source!$A$2:$S$86,Source!$AA75,COLUMNS(Source!$X$2:Y75)),"")</f>
        <v>DW Office ML</v>
      </c>
      <c r="C90" s="8" t="str">
        <f>IFERROR(INDEX(Source!$A$2:$S$86,Source!$AA75,COLUMNS(Source!$X$2:Z75)),"")</f>
        <v>Sans Fil</v>
      </c>
      <c r="D90" s="8">
        <f>IFERROR(INDEX(Source!$A$2:$S$86,Source!$AA75,COLUMNS(Source!$X$2:AA75)),"")</f>
        <v>504454</v>
      </c>
      <c r="E90" s="18">
        <f>IFERROR(INDEX(Source!$A$2:$S$86,Source!$AA75,COLUMNS(Source!$X$2:AB75)),"")</f>
        <v>349</v>
      </c>
      <c r="F90" s="8" t="str">
        <f>IFERROR(INDEX(Source!$A$2:$S$86,Source!$AA75,COLUMNS(Source!$X$2:AC75)),"")</f>
        <v>PC + TEL</v>
      </c>
      <c r="G90" s="8" t="str">
        <f>IFERROR(INDEX(Source!$A$2:$S$86,Source!$AA75,COLUMNS(Source!$X$2:AD75)),"")</f>
        <v>Mono</v>
      </c>
      <c r="H90" s="8" t="str">
        <f>IFERROR(INDEX(Source!$A$2:$S$86,Source!$AA75,COLUMNS(Source!$X$2:AE75)),"")</f>
        <v>120m</v>
      </c>
      <c r="I90" s="8" t="str">
        <f>IFERROR(INDEX(Source!$A$2:$S$86,Source!$AA75,COLUMNS(Source!$X$2:AF75)),"")</f>
        <v>10h</v>
      </c>
      <c r="J90" s="40" t="str">
        <f>IFERROR(INDEX(Source!$A$2:$S$86,Source!$AA75,COLUMNS(Source!$X$2:AG75)),"")</f>
        <v>100h</v>
      </c>
      <c r="K90" s="40" t="str">
        <f>IFERROR(INDEX(Source!$A$2:$S$86,Source!$AA75,COLUMNS(Source!$X$2:AH75)),"")</f>
        <v>Serre-tête -  Contour d'oreille</v>
      </c>
      <c r="L90" s="40" t="str">
        <f>IFERROR(INDEX(Source!$A$2:$S$86,Source!$AA75,COLUMNS(Source!$X$2:AI75)),"")</f>
        <v>4 casques sur même base</v>
      </c>
      <c r="M90" s="40" t="str">
        <f>IFERROR(INDEX(Source!$A$2:$S$86,Source!$AA75,COLUMNS(Source!$X$2:AJ75)),"")</f>
        <v>Non</v>
      </c>
      <c r="N90" s="40">
        <f>IFERROR(INDEX(Source!$A$2:$S$86,Source!$AA75,COLUMNS(Source!$X$2:AK75)),"")</f>
        <v>0</v>
      </c>
      <c r="O90" s="40">
        <f>IFERROR(INDEX(Source!$A$2:$S$86,Source!$AA75,COLUMNS(Source!$X$2:AL75)),"")</f>
        <v>0</v>
      </c>
      <c r="P90" s="40" t="str">
        <f>IFERROR(INDEX(Source!$A$2:$S$86,Source!$AA75,COLUMNS(Source!$X$2:AM75)),"")</f>
        <v>50g</v>
      </c>
      <c r="Q90" s="40" t="str">
        <f>IFERROR(INDEX(Source!$A$2:$S$86,Source!$AA75,COLUMNS(Source!$X$2:AN75)),"")</f>
        <v>Oui</v>
      </c>
      <c r="R90" s="40">
        <f>IFERROR(INDEX(Source!$A$2:$S$86,Source!$AA75,COLUMNS(Source!$X$2:AO75)),"")</f>
        <v>0</v>
      </c>
      <c r="S90" s="40" t="str">
        <f>IFERROR(INDEX(Source!$A$2:$S$86,Source!$AA75,COLUMNS(Source!$X$2:AP75)),"")</f>
        <v>2 ans</v>
      </c>
    </row>
    <row r="91" spans="1:19" x14ac:dyDescent="0.25">
      <c r="A91" s="8" t="str">
        <f>IFERROR(INDEX(Source!$A$2:$S$86,Source!$AA76,COLUMNS(Source!$X$2:X76)),"")</f>
        <v>SENNHEISER</v>
      </c>
      <c r="B91" s="8" t="str">
        <f>IFERROR(INDEX(Source!$A$2:$S$86,Source!$AA76,COLUMNS(Source!$X$2:Y76)),"")</f>
        <v>DW Pro 1</v>
      </c>
      <c r="C91" s="8" t="str">
        <f>IFERROR(INDEX(Source!$A$2:$S$86,Source!$AA76,COLUMNS(Source!$X$2:Z76)),"")</f>
        <v>Sans Fil</v>
      </c>
      <c r="D91" s="8">
        <f>IFERROR(INDEX(Source!$A$2:$S$86,Source!$AA76,COLUMNS(Source!$X$2:AA76)),"")</f>
        <v>504304</v>
      </c>
      <c r="E91" s="18">
        <f>IFERROR(INDEX(Source!$A$2:$S$86,Source!$AA76,COLUMNS(Source!$X$2:AB76)),"")</f>
        <v>349</v>
      </c>
      <c r="F91" s="8" t="str">
        <f>IFERROR(INDEX(Source!$A$2:$S$86,Source!$AA76,COLUMNS(Source!$X$2:AC76)),"")</f>
        <v>PC + TEL</v>
      </c>
      <c r="G91" s="8" t="str">
        <f>IFERROR(INDEX(Source!$A$2:$S$86,Source!$AA76,COLUMNS(Source!$X$2:AD76)),"")</f>
        <v>Mono</v>
      </c>
      <c r="H91" s="8" t="str">
        <f>IFERROR(INDEX(Source!$A$2:$S$86,Source!$AA76,COLUMNS(Source!$X$2:AE76)),"")</f>
        <v>120m</v>
      </c>
      <c r="I91" s="8" t="str">
        <f>IFERROR(INDEX(Source!$A$2:$S$86,Source!$AA76,COLUMNS(Source!$X$2:AF76)),"")</f>
        <v>10h</v>
      </c>
      <c r="J91" s="40" t="str">
        <f>IFERROR(INDEX(Source!$A$2:$S$86,Source!$AA76,COLUMNS(Source!$X$2:AG76)),"")</f>
        <v>100h</v>
      </c>
      <c r="K91" s="40">
        <f>IFERROR(INDEX(Source!$A$2:$S$86,Source!$AA76,COLUMNS(Source!$X$2:AH76)),"")</f>
        <v>0</v>
      </c>
      <c r="L91" s="40" t="str">
        <f>IFERROR(INDEX(Source!$A$2:$S$86,Source!$AA76,COLUMNS(Source!$X$2:AI76)),"")</f>
        <v>4 casques sur même base</v>
      </c>
      <c r="M91" s="40" t="str">
        <f>IFERROR(INDEX(Source!$A$2:$S$86,Source!$AA76,COLUMNS(Source!$X$2:AJ76)),"")</f>
        <v>Oui</v>
      </c>
      <c r="N91" s="40">
        <f>IFERROR(INDEX(Source!$A$2:$S$86,Source!$AA76,COLUMNS(Source!$X$2:AK76)),"")</f>
        <v>0</v>
      </c>
      <c r="O91" s="40">
        <f>IFERROR(INDEX(Source!$A$2:$S$86,Source!$AA76,COLUMNS(Source!$X$2:AL76)),"")</f>
        <v>0</v>
      </c>
      <c r="P91" s="40" t="str">
        <f>IFERROR(INDEX(Source!$A$2:$S$86,Source!$AA76,COLUMNS(Source!$X$2:AM76)),"")</f>
        <v>65g</v>
      </c>
      <c r="Q91" s="40" t="str">
        <f>IFERROR(INDEX(Source!$A$2:$S$86,Source!$AA76,COLUMNS(Source!$X$2:AN76)),"")</f>
        <v>Non</v>
      </c>
      <c r="R91" s="40">
        <f>IFERROR(INDEX(Source!$A$2:$S$86,Source!$AA76,COLUMNS(Source!$X$2:AO76)),"")</f>
        <v>0</v>
      </c>
      <c r="S91" s="40" t="str">
        <f>IFERROR(INDEX(Source!$A$2:$S$86,Source!$AA76,COLUMNS(Source!$X$2:AP76)),"")</f>
        <v>2 ans</v>
      </c>
    </row>
    <row r="92" spans="1:19" x14ac:dyDescent="0.25">
      <c r="A92" s="8" t="str">
        <f>IFERROR(INDEX(Source!$A$2:$S$86,Source!$AA77,COLUMNS(Source!$X$2:X77)),"")</f>
        <v>SENNHEISER</v>
      </c>
      <c r="B92" s="8" t="str">
        <f>IFERROR(INDEX(Source!$A$2:$S$86,Source!$AA77,COLUMNS(Source!$X$2:Y77)),"")</f>
        <v>DW Pro 1 ML</v>
      </c>
      <c r="C92" s="8" t="str">
        <f>IFERROR(INDEX(Source!$A$2:$S$86,Source!$AA77,COLUMNS(Source!$X$2:Z77)),"")</f>
        <v>Sans Fil</v>
      </c>
      <c r="D92" s="8">
        <f>IFERROR(INDEX(Source!$A$2:$S$86,Source!$AA77,COLUMNS(Source!$X$2:AA77)),"")</f>
        <v>504458</v>
      </c>
      <c r="E92" s="18">
        <f>IFERROR(INDEX(Source!$A$2:$S$86,Source!$AA77,COLUMNS(Source!$X$2:AB77)),"")</f>
        <v>349</v>
      </c>
      <c r="F92" s="8" t="str">
        <f>IFERROR(INDEX(Source!$A$2:$S$86,Source!$AA77,COLUMNS(Source!$X$2:AC77)),"")</f>
        <v>PC + TEL</v>
      </c>
      <c r="G92" s="8" t="str">
        <f>IFERROR(INDEX(Source!$A$2:$S$86,Source!$AA77,COLUMNS(Source!$X$2:AD77)),"")</f>
        <v>Mono</v>
      </c>
      <c r="H92" s="8" t="str">
        <f>IFERROR(INDEX(Source!$A$2:$S$86,Source!$AA77,COLUMNS(Source!$X$2:AE77)),"")</f>
        <v>120m</v>
      </c>
      <c r="I92" s="8" t="str">
        <f>IFERROR(INDEX(Source!$A$2:$S$86,Source!$AA77,COLUMNS(Source!$X$2:AF77)),"")</f>
        <v>10h</v>
      </c>
      <c r="J92" s="40" t="str">
        <f>IFERROR(INDEX(Source!$A$2:$S$86,Source!$AA77,COLUMNS(Source!$X$2:AG77)),"")</f>
        <v>100h</v>
      </c>
      <c r="K92" s="40">
        <f>IFERROR(INDEX(Source!$A$2:$S$86,Source!$AA77,COLUMNS(Source!$X$2:AH77)),"")</f>
        <v>0</v>
      </c>
      <c r="L92" s="40" t="str">
        <f>IFERROR(INDEX(Source!$A$2:$S$86,Source!$AA77,COLUMNS(Source!$X$2:AI77)),"")</f>
        <v>4 casques sur même base</v>
      </c>
      <c r="M92" s="40" t="str">
        <f>IFERROR(INDEX(Source!$A$2:$S$86,Source!$AA77,COLUMNS(Source!$X$2:AJ77)),"")</f>
        <v>Oui</v>
      </c>
      <c r="N92" s="40">
        <f>IFERROR(INDEX(Source!$A$2:$S$86,Source!$AA77,COLUMNS(Source!$X$2:AK77)),"")</f>
        <v>0</v>
      </c>
      <c r="O92" s="40">
        <f>IFERROR(INDEX(Source!$A$2:$S$86,Source!$AA77,COLUMNS(Source!$X$2:AL77)),"")</f>
        <v>0</v>
      </c>
      <c r="P92" s="40" t="str">
        <f>IFERROR(INDEX(Source!$A$2:$S$86,Source!$AA77,COLUMNS(Source!$X$2:AM77)),"")</f>
        <v>65g</v>
      </c>
      <c r="Q92" s="40" t="str">
        <f>IFERROR(INDEX(Source!$A$2:$S$86,Source!$AA77,COLUMNS(Source!$X$2:AN77)),"")</f>
        <v>Oui</v>
      </c>
      <c r="R92" s="40">
        <f>IFERROR(INDEX(Source!$A$2:$S$86,Source!$AA77,COLUMNS(Source!$X$2:AO77)),"")</f>
        <v>0</v>
      </c>
      <c r="S92" s="40" t="str">
        <f>IFERROR(INDEX(Source!$A$2:$S$86,Source!$AA77,COLUMNS(Source!$X$2:AP77)),"")</f>
        <v>2 ans</v>
      </c>
    </row>
    <row r="93" spans="1:19" x14ac:dyDescent="0.25">
      <c r="A93" s="8" t="str">
        <f>IFERROR(INDEX(Source!$A$2:$S$86,Source!$AA78,COLUMNS(Source!$X$2:X78)),"")</f>
        <v>SENNHEISER</v>
      </c>
      <c r="B93" s="8" t="str">
        <f>IFERROR(INDEX(Source!$A$2:$S$86,Source!$AA78,COLUMNS(Source!$X$2:Y78)),"")</f>
        <v>DW Pro 2</v>
      </c>
      <c r="C93" s="8" t="str">
        <f>IFERROR(INDEX(Source!$A$2:$S$86,Source!$AA78,COLUMNS(Source!$X$2:Z78)),"")</f>
        <v>Sans Fil</v>
      </c>
      <c r="D93" s="8">
        <f>IFERROR(INDEX(Source!$A$2:$S$86,Source!$AA78,COLUMNS(Source!$X$2:AA78)),"")</f>
        <v>504308</v>
      </c>
      <c r="E93" s="18">
        <f>IFERROR(INDEX(Source!$A$2:$S$86,Source!$AA78,COLUMNS(Source!$X$2:AB78)),"")</f>
        <v>369</v>
      </c>
      <c r="F93" s="8" t="str">
        <f>IFERROR(INDEX(Source!$A$2:$S$86,Source!$AA78,COLUMNS(Source!$X$2:AC78)),"")</f>
        <v>PC + TEL</v>
      </c>
      <c r="G93" s="8" t="str">
        <f>IFERROR(INDEX(Source!$A$2:$S$86,Source!$AA78,COLUMNS(Source!$X$2:AD78)),"")</f>
        <v>Bino</v>
      </c>
      <c r="H93" s="8" t="str">
        <f>IFERROR(INDEX(Source!$A$2:$S$86,Source!$AA78,COLUMNS(Source!$X$2:AE78)),"")</f>
        <v>120m</v>
      </c>
      <c r="I93" s="8" t="str">
        <f>IFERROR(INDEX(Source!$A$2:$S$86,Source!$AA78,COLUMNS(Source!$X$2:AF78)),"")</f>
        <v>10h</v>
      </c>
      <c r="J93" s="40" t="str">
        <f>IFERROR(INDEX(Source!$A$2:$S$86,Source!$AA78,COLUMNS(Source!$X$2:AG78)),"")</f>
        <v>100h</v>
      </c>
      <c r="K93" s="40">
        <f>IFERROR(INDEX(Source!$A$2:$S$86,Source!$AA78,COLUMNS(Source!$X$2:AH78)),"")</f>
        <v>0</v>
      </c>
      <c r="L93" s="40" t="str">
        <f>IFERROR(INDEX(Source!$A$2:$S$86,Source!$AA78,COLUMNS(Source!$X$2:AI78)),"")</f>
        <v>4 casques sur même base</v>
      </c>
      <c r="M93" s="40" t="str">
        <f>IFERROR(INDEX(Source!$A$2:$S$86,Source!$AA78,COLUMNS(Source!$X$2:AJ78)),"")</f>
        <v>Oui</v>
      </c>
      <c r="N93" s="40">
        <f>IFERROR(INDEX(Source!$A$2:$S$86,Source!$AA78,COLUMNS(Source!$X$2:AK78)),"")</f>
        <v>0</v>
      </c>
      <c r="O93" s="40">
        <f>IFERROR(INDEX(Source!$A$2:$S$86,Source!$AA78,COLUMNS(Source!$X$2:AL78)),"")</f>
        <v>0</v>
      </c>
      <c r="P93" s="40" t="str">
        <f>IFERROR(INDEX(Source!$A$2:$S$86,Source!$AA78,COLUMNS(Source!$X$2:AM78)),"")</f>
        <v>85g</v>
      </c>
      <c r="Q93" s="40" t="str">
        <f>IFERROR(INDEX(Source!$A$2:$S$86,Source!$AA78,COLUMNS(Source!$X$2:AN78)),"")</f>
        <v>Non</v>
      </c>
      <c r="R93" s="40">
        <f>IFERROR(INDEX(Source!$A$2:$S$86,Source!$AA78,COLUMNS(Source!$X$2:AO78)),"")</f>
        <v>0</v>
      </c>
      <c r="S93" s="40" t="str">
        <f>IFERROR(INDEX(Source!$A$2:$S$86,Source!$AA78,COLUMNS(Source!$X$2:AP78)),"")</f>
        <v>2 ans</v>
      </c>
    </row>
    <row r="94" spans="1:19" x14ac:dyDescent="0.25">
      <c r="A94" s="8" t="str">
        <f>IFERROR(INDEX(Source!$A$2:$S$86,Source!$AA79,COLUMNS(Source!$X$2:X79)),"")</f>
        <v>SENNHEISER</v>
      </c>
      <c r="B94" s="8" t="str">
        <f>IFERROR(INDEX(Source!$A$2:$S$86,Source!$AA79,COLUMNS(Source!$X$2:Y79)),"")</f>
        <v>DW Pro 2 ML</v>
      </c>
      <c r="C94" s="8" t="str">
        <f>IFERROR(INDEX(Source!$A$2:$S$86,Source!$AA79,COLUMNS(Source!$X$2:Z79)),"")</f>
        <v>Sans Fil</v>
      </c>
      <c r="D94" s="8">
        <f>IFERROR(INDEX(Source!$A$2:$S$86,Source!$AA79,COLUMNS(Source!$X$2:AA79)),"")</f>
        <v>504462</v>
      </c>
      <c r="E94" s="18">
        <f>IFERROR(INDEX(Source!$A$2:$S$86,Source!$AA79,COLUMNS(Source!$X$2:AB79)),"")</f>
        <v>369</v>
      </c>
      <c r="F94" s="8" t="str">
        <f>IFERROR(INDEX(Source!$A$2:$S$86,Source!$AA79,COLUMNS(Source!$X$2:AC79)),"")</f>
        <v>PC + TEL</v>
      </c>
      <c r="G94" s="8" t="str">
        <f>IFERROR(INDEX(Source!$A$2:$S$86,Source!$AA79,COLUMNS(Source!$X$2:AD79)),"")</f>
        <v>Bino</v>
      </c>
      <c r="H94" s="8" t="str">
        <f>IFERROR(INDEX(Source!$A$2:$S$86,Source!$AA79,COLUMNS(Source!$X$2:AE79)),"")</f>
        <v>120m</v>
      </c>
      <c r="I94" s="8" t="str">
        <f>IFERROR(INDEX(Source!$A$2:$S$86,Source!$AA79,COLUMNS(Source!$X$2:AF79)),"")</f>
        <v>10h</v>
      </c>
      <c r="J94" s="40" t="str">
        <f>IFERROR(INDEX(Source!$A$2:$S$86,Source!$AA79,COLUMNS(Source!$X$2:AG79)),"")</f>
        <v>100h</v>
      </c>
      <c r="K94" s="40">
        <f>IFERROR(INDEX(Source!$A$2:$S$86,Source!$AA79,COLUMNS(Source!$X$2:AH79)),"")</f>
        <v>0</v>
      </c>
      <c r="L94" s="40" t="str">
        <f>IFERROR(INDEX(Source!$A$2:$S$86,Source!$AA79,COLUMNS(Source!$X$2:AI79)),"")</f>
        <v>4 casques sur même base</v>
      </c>
      <c r="M94" s="40" t="str">
        <f>IFERROR(INDEX(Source!$A$2:$S$86,Source!$AA79,COLUMNS(Source!$X$2:AJ79)),"")</f>
        <v>Oui</v>
      </c>
      <c r="N94" s="40">
        <f>IFERROR(INDEX(Source!$A$2:$S$86,Source!$AA79,COLUMNS(Source!$X$2:AK79)),"")</f>
        <v>0</v>
      </c>
      <c r="O94" s="40">
        <f>IFERROR(INDEX(Source!$A$2:$S$86,Source!$AA79,COLUMNS(Source!$X$2:AL79)),"")</f>
        <v>0</v>
      </c>
      <c r="P94" s="40" t="str">
        <f>IFERROR(INDEX(Source!$A$2:$S$86,Source!$AA79,COLUMNS(Source!$X$2:AM79)),"")</f>
        <v>85g</v>
      </c>
      <c r="Q94" s="40" t="str">
        <f>IFERROR(INDEX(Source!$A$2:$S$86,Source!$AA79,COLUMNS(Source!$X$2:AN79)),"")</f>
        <v>Oui</v>
      </c>
      <c r="R94" s="40">
        <f>IFERROR(INDEX(Source!$A$2:$S$86,Source!$AA79,COLUMNS(Source!$X$2:AO79)),"")</f>
        <v>0</v>
      </c>
      <c r="S94" s="40" t="str">
        <f>IFERROR(INDEX(Source!$A$2:$S$86,Source!$AA79,COLUMNS(Source!$X$2:AP79)),"")</f>
        <v>2 ans</v>
      </c>
    </row>
    <row r="95" spans="1:19" x14ac:dyDescent="0.25">
      <c r="A95" s="8" t="str">
        <f>IFERROR(INDEX(Source!$A$2:$S$86,Source!$AA80,COLUMNS(Source!$X$2:X80)),"")</f>
        <v>JABRA</v>
      </c>
      <c r="B95" s="8" t="str">
        <f>IFERROR(INDEX(Source!$A$2:$S$86,Source!$AA80,COLUMNS(Source!$X$2:Y80)),"")</f>
        <v>SPEAK 510 UC (Dongle)</v>
      </c>
      <c r="C95" s="8" t="str">
        <f>IFERROR(INDEX(Source!$A$2:$S$86,Source!$AA80,COLUMNS(Source!$X$2:Z80)),"")</f>
        <v>Sans Fil</v>
      </c>
      <c r="D95" s="8" t="str">
        <f>IFERROR(INDEX(Source!$A$2:$S$86,Source!$AA80,COLUMNS(Source!$X$2:AA80)),"")</f>
        <v>7510-409</v>
      </c>
      <c r="E95" s="18">
        <f>IFERROR(INDEX(Source!$A$2:$S$86,Source!$AA80,COLUMNS(Source!$X$2:AB80)),"")</f>
        <v>159</v>
      </c>
      <c r="F95" s="8" t="str">
        <f>IFERROR(INDEX(Source!$A$2:$S$86,Source!$AA80,COLUMNS(Source!$X$2:AC80)),"")</f>
        <v>Speakerphone</v>
      </c>
      <c r="G95" s="40">
        <f>IFERROR(INDEX(Source!$A$2:$S$86,Source!$AA80,COLUMNS(Source!$X$2:AD80)),"")</f>
        <v>0</v>
      </c>
      <c r="H95" s="8" t="str">
        <f>IFERROR(INDEX(Source!$A$2:$S$86,Source!$AA80,COLUMNS(Source!$X$2:AE80)),"")</f>
        <v>100m</v>
      </c>
      <c r="I95" s="8" t="str">
        <f>IFERROR(INDEX(Source!$A$2:$S$86,Source!$AA80,COLUMNS(Source!$X$2:AF80)),"")</f>
        <v>15h</v>
      </c>
      <c r="J95" s="40">
        <f>IFERROR(INDEX(Source!$A$2:$S$86,Source!$AA80,COLUMNS(Source!$X$2:AG80)),"")</f>
        <v>0</v>
      </c>
      <c r="K95" s="40">
        <f>IFERROR(INDEX(Source!$A$2:$S$86,Source!$AA80,COLUMNS(Source!$X$2:AH80)),"")</f>
        <v>0</v>
      </c>
      <c r="L95" s="40">
        <f>IFERROR(INDEX(Source!$A$2:$S$86,Source!$AA80,COLUMNS(Source!$X$2:AI80)),"")</f>
        <v>0</v>
      </c>
      <c r="M95" s="40">
        <f>IFERROR(INDEX(Source!$A$2:$S$86,Source!$AA80,COLUMNS(Source!$X$2:AJ80)),"")</f>
        <v>0</v>
      </c>
      <c r="N95" s="40">
        <f>IFERROR(INDEX(Source!$A$2:$S$86,Source!$AA80,COLUMNS(Source!$X$2:AK80)),"")</f>
        <v>0</v>
      </c>
      <c r="O95" s="40" t="str">
        <f>IFERROR(INDEX(Source!$A$2:$S$86,Source!$AA80,COLUMNS(Source!$X$2:AL80)),"")</f>
        <v>Oui</v>
      </c>
      <c r="P95" s="40" t="str">
        <f>IFERROR(INDEX(Source!$A$2:$S$86,Source!$AA80,COLUMNS(Source!$X$2:AM80)),"")</f>
        <v>300g</v>
      </c>
      <c r="Q95" s="40" t="str">
        <f>IFERROR(INDEX(Source!$A$2:$S$86,Source!$AA80,COLUMNS(Source!$X$2:AN80)),"")</f>
        <v>Non</v>
      </c>
      <c r="R95" s="40">
        <f>IFERROR(INDEX(Source!$A$2:$S$86,Source!$AA80,COLUMNS(Source!$X$2:AO80)),"")</f>
        <v>0</v>
      </c>
      <c r="S95" s="40" t="str">
        <f>IFERROR(INDEX(Source!$A$2:$S$86,Source!$AA80,COLUMNS(Source!$X$2:AP80)),"")</f>
        <v>2 ans</v>
      </c>
    </row>
    <row r="96" spans="1:19" x14ac:dyDescent="0.25">
      <c r="A96" s="8" t="str">
        <f>IFERROR(INDEX(Source!$A$2:$S$86,Source!$AA81,COLUMNS(Source!$X$2:X81)),"")</f>
        <v>JABRA</v>
      </c>
      <c r="B96" s="8" t="str">
        <f>IFERROR(INDEX(Source!$A$2:$S$86,Source!$AA81,COLUMNS(Source!$X$2:Y81)),"")</f>
        <v>SPEAK 510 MS</v>
      </c>
      <c r="C96" s="8" t="str">
        <f>IFERROR(INDEX(Source!$A$2:$S$86,Source!$AA81,COLUMNS(Source!$X$2:Z81)),"")</f>
        <v>Sans Fil</v>
      </c>
      <c r="D96" s="8" t="str">
        <f>IFERROR(INDEX(Source!$A$2:$S$86,Source!$AA81,COLUMNS(Source!$X$2:AA81)),"")</f>
        <v>7510-109</v>
      </c>
      <c r="E96" s="18">
        <f>IFERROR(INDEX(Source!$A$2:$S$86,Source!$AA81,COLUMNS(Source!$X$2:AB81)),"")</f>
        <v>129</v>
      </c>
      <c r="F96" s="8" t="str">
        <f>IFERROR(INDEX(Source!$A$2:$S$86,Source!$AA81,COLUMNS(Source!$X$2:AC81)),"")</f>
        <v>Speakerphone</v>
      </c>
      <c r="G96" s="40">
        <f>IFERROR(INDEX(Source!$A$2:$S$86,Source!$AA81,COLUMNS(Source!$X$2:AD81)),"")</f>
        <v>0</v>
      </c>
      <c r="H96" s="8" t="str">
        <f>IFERROR(INDEX(Source!$A$2:$S$86,Source!$AA81,COLUMNS(Source!$X$2:AE81)),"")</f>
        <v>100m</v>
      </c>
      <c r="I96" s="8" t="str">
        <f>IFERROR(INDEX(Source!$A$2:$S$86,Source!$AA81,COLUMNS(Source!$X$2:AF81)),"")</f>
        <v>15h</v>
      </c>
      <c r="J96" s="40">
        <f>IFERROR(INDEX(Source!$A$2:$S$86,Source!$AA81,COLUMNS(Source!$X$2:AG81)),"")</f>
        <v>0</v>
      </c>
      <c r="K96" s="40">
        <f>IFERROR(INDEX(Source!$A$2:$S$86,Source!$AA81,COLUMNS(Source!$X$2:AH81)),"")</f>
        <v>0</v>
      </c>
      <c r="L96" s="40">
        <f>IFERROR(INDEX(Source!$A$2:$S$86,Source!$AA81,COLUMNS(Source!$X$2:AI81)),"")</f>
        <v>0</v>
      </c>
      <c r="M96" s="40">
        <f>IFERROR(INDEX(Source!$A$2:$S$86,Source!$AA81,COLUMNS(Source!$X$2:AJ81)),"")</f>
        <v>0</v>
      </c>
      <c r="N96" s="40">
        <f>IFERROR(INDEX(Source!$A$2:$S$86,Source!$AA81,COLUMNS(Source!$X$2:AK81)),"")</f>
        <v>0</v>
      </c>
      <c r="O96" s="40">
        <f>IFERROR(INDEX(Source!$A$2:$S$86,Source!$AA81,COLUMNS(Source!$X$2:AL81)),"")</f>
        <v>0</v>
      </c>
      <c r="P96" s="40" t="str">
        <f>IFERROR(INDEX(Source!$A$2:$S$86,Source!$AA81,COLUMNS(Source!$X$2:AM81)),"")</f>
        <v>300g</v>
      </c>
      <c r="Q96" s="40" t="str">
        <f>IFERROR(INDEX(Source!$A$2:$S$86,Source!$AA81,COLUMNS(Source!$X$2:AN81)),"")</f>
        <v>Oui</v>
      </c>
      <c r="R96" s="40">
        <f>IFERROR(INDEX(Source!$A$2:$S$86,Source!$AA81,COLUMNS(Source!$X$2:AO81)),"")</f>
        <v>0</v>
      </c>
      <c r="S96" s="40" t="str">
        <f>IFERROR(INDEX(Source!$A$2:$S$86,Source!$AA81,COLUMNS(Source!$X$2:AP81)),"")</f>
        <v>2 ans</v>
      </c>
    </row>
    <row r="97" spans="1:19" x14ac:dyDescent="0.25">
      <c r="A97" s="8" t="str">
        <f>IFERROR(INDEX(Source!$A$2:$S$86,Source!$AA82,COLUMNS(Source!$X$2:X82)),"")</f>
        <v>JABRA</v>
      </c>
      <c r="B97" s="8" t="str">
        <f>IFERROR(INDEX(Source!$A$2:$S$86,Source!$AA82,COLUMNS(Source!$X$2:Y82)),"")</f>
        <v>SPEAK 510</v>
      </c>
      <c r="C97" s="8" t="str">
        <f>IFERROR(INDEX(Source!$A$2:$S$86,Source!$AA82,COLUMNS(Source!$X$2:Z82)),"")</f>
        <v>Sans Fil</v>
      </c>
      <c r="D97" s="8" t="str">
        <f>IFERROR(INDEX(Source!$A$2:$S$86,Source!$AA82,COLUMNS(Source!$X$2:AA82)),"")</f>
        <v>7510-209</v>
      </c>
      <c r="E97" s="18">
        <f>IFERROR(INDEX(Source!$A$2:$S$86,Source!$AA82,COLUMNS(Source!$X$2:AB82)),"")</f>
        <v>129</v>
      </c>
      <c r="F97" s="8" t="str">
        <f>IFERROR(INDEX(Source!$A$2:$S$86,Source!$AA82,COLUMNS(Source!$X$2:AC82)),"")</f>
        <v>Speakerphone</v>
      </c>
      <c r="G97" s="40">
        <f>IFERROR(INDEX(Source!$A$2:$S$86,Source!$AA82,COLUMNS(Source!$X$2:AD82)),"")</f>
        <v>0</v>
      </c>
      <c r="H97" s="8" t="str">
        <f>IFERROR(INDEX(Source!$A$2:$S$86,Source!$AA82,COLUMNS(Source!$X$2:AE82)),"")</f>
        <v>100m</v>
      </c>
      <c r="I97" s="8" t="str">
        <f>IFERROR(INDEX(Source!$A$2:$S$86,Source!$AA82,COLUMNS(Source!$X$2:AF82)),"")</f>
        <v>15h</v>
      </c>
      <c r="J97" s="40">
        <f>IFERROR(INDEX(Source!$A$2:$S$86,Source!$AA82,COLUMNS(Source!$X$2:AG82)),"")</f>
        <v>0</v>
      </c>
      <c r="K97" s="40">
        <f>IFERROR(INDEX(Source!$A$2:$S$86,Source!$AA82,COLUMNS(Source!$X$2:AH82)),"")</f>
        <v>0</v>
      </c>
      <c r="L97" s="40">
        <f>IFERROR(INDEX(Source!$A$2:$S$86,Source!$AA82,COLUMNS(Source!$X$2:AI82)),"")</f>
        <v>0</v>
      </c>
      <c r="M97" s="40">
        <f>IFERROR(INDEX(Source!$A$2:$S$86,Source!$AA82,COLUMNS(Source!$X$2:AJ82)),"")</f>
        <v>0</v>
      </c>
      <c r="N97" s="40">
        <f>IFERROR(INDEX(Source!$A$2:$S$86,Source!$AA82,COLUMNS(Source!$X$2:AK82)),"")</f>
        <v>0</v>
      </c>
      <c r="O97" s="40">
        <f>IFERROR(INDEX(Source!$A$2:$S$86,Source!$AA82,COLUMNS(Source!$X$2:AL82)),"")</f>
        <v>0</v>
      </c>
      <c r="P97" s="40" t="str">
        <f>IFERROR(INDEX(Source!$A$2:$S$86,Source!$AA82,COLUMNS(Source!$X$2:AM82)),"")</f>
        <v>300g</v>
      </c>
      <c r="Q97" s="40" t="str">
        <f>IFERROR(INDEX(Source!$A$2:$S$86,Source!$AA82,COLUMNS(Source!$X$2:AN82)),"")</f>
        <v>Non</v>
      </c>
      <c r="R97" s="40">
        <f>IFERROR(INDEX(Source!$A$2:$S$86,Source!$AA82,COLUMNS(Source!$X$2:AO82)),"")</f>
        <v>0</v>
      </c>
      <c r="S97" s="40" t="str">
        <f>IFERROR(INDEX(Source!$A$2:$S$86,Source!$AA82,COLUMNS(Source!$X$2:AP82)),"")</f>
        <v>2 ans</v>
      </c>
    </row>
    <row r="98" spans="1:19" x14ac:dyDescent="0.25">
      <c r="A98" s="8" t="str">
        <f>IFERROR(INDEX(Source!$A$2:$S$86,Source!$AA83,COLUMNS(Source!$X$2:X83)),"")</f>
        <v>JABRA</v>
      </c>
      <c r="B98" s="8" t="str">
        <f>IFERROR(INDEX(Source!$A$2:$S$86,Source!$AA83,COLUMNS(Source!$X$2:Y83)),"")</f>
        <v>SPEAK 810</v>
      </c>
      <c r="C98" s="8" t="str">
        <f>IFERROR(INDEX(Source!$A$2:$S$86,Source!$AA83,COLUMNS(Source!$X$2:Z83)),"")</f>
        <v>Sans Fil</v>
      </c>
      <c r="D98" s="8" t="str">
        <f>IFERROR(INDEX(Source!$A$2:$S$86,Source!$AA83,COLUMNS(Source!$X$2:AA83)),"")</f>
        <v>7810-209</v>
      </c>
      <c r="E98" s="18">
        <f>IFERROR(INDEX(Source!$A$2:$S$86,Source!$AA83,COLUMNS(Source!$X$2:AB83)),"")</f>
        <v>599</v>
      </c>
      <c r="F98" s="8" t="str">
        <f>IFERROR(INDEX(Source!$A$2:$S$86,Source!$AA83,COLUMNS(Source!$X$2:AC83)),"")</f>
        <v>Speakerphone</v>
      </c>
      <c r="G98" s="40">
        <f>IFERROR(INDEX(Source!$A$2:$S$86,Source!$AA83,COLUMNS(Source!$X$2:AD83)),"")</f>
        <v>0</v>
      </c>
      <c r="H98" s="8" t="str">
        <f>IFERROR(INDEX(Source!$A$2:$S$86,Source!$AA83,COLUMNS(Source!$X$2:AE83)),"")</f>
        <v>100m</v>
      </c>
      <c r="I98" s="8" t="str">
        <f>IFERROR(INDEX(Source!$A$2:$S$86,Source!$AA83,COLUMNS(Source!$X$2:AF83)),"")</f>
        <v>15h</v>
      </c>
      <c r="J98" s="40">
        <f>IFERROR(INDEX(Source!$A$2:$S$86,Source!$AA83,COLUMNS(Source!$X$2:AG83)),"")</f>
        <v>0</v>
      </c>
      <c r="K98" s="40">
        <f>IFERROR(INDEX(Source!$A$2:$S$86,Source!$AA83,COLUMNS(Source!$X$2:AH83)),"")</f>
        <v>0</v>
      </c>
      <c r="L98" s="40">
        <f>IFERROR(INDEX(Source!$A$2:$S$86,Source!$AA83,COLUMNS(Source!$X$2:AI83)),"")</f>
        <v>0</v>
      </c>
      <c r="M98" s="40">
        <f>IFERROR(INDEX(Source!$A$2:$S$86,Source!$AA83,COLUMNS(Source!$X$2:AJ83)),"")</f>
        <v>0</v>
      </c>
      <c r="N98" s="40">
        <f>IFERROR(INDEX(Source!$A$2:$S$86,Source!$AA83,COLUMNS(Source!$X$2:AK83)),"")</f>
        <v>0</v>
      </c>
      <c r="O98" s="40">
        <f>IFERROR(INDEX(Source!$A$2:$S$86,Source!$AA83,COLUMNS(Source!$X$2:AL83)),"")</f>
        <v>0</v>
      </c>
      <c r="P98" s="40" t="str">
        <f>IFERROR(INDEX(Source!$A$2:$S$86,Source!$AA83,COLUMNS(Source!$X$2:AM83)),"")</f>
        <v>300g</v>
      </c>
      <c r="Q98" s="40" t="str">
        <f>IFERROR(INDEX(Source!$A$2:$S$86,Source!$AA83,COLUMNS(Source!$X$2:AN83)),"")</f>
        <v>Non</v>
      </c>
      <c r="R98" s="40">
        <f>IFERROR(INDEX(Source!$A$2:$S$86,Source!$AA83,COLUMNS(Source!$X$2:AO83)),"")</f>
        <v>0</v>
      </c>
      <c r="S98" s="40" t="str">
        <f>IFERROR(INDEX(Source!$A$2:$S$86,Source!$AA83,COLUMNS(Source!$X$2:AP83)),"")</f>
        <v>2 ans</v>
      </c>
    </row>
    <row r="99" spans="1:19" x14ac:dyDescent="0.25">
      <c r="A99" s="8" t="str">
        <f>IFERROR(INDEX(Source!$A$2:$S$86,Source!$AA84,COLUMNS(Source!$X$2:X84)),"")</f>
        <v>JABRA</v>
      </c>
      <c r="B99" s="8" t="str">
        <f>IFERROR(INDEX(Source!$A$2:$S$86,Source!$AA84,COLUMNS(Source!$X$2:Y84)),"")</f>
        <v>SPEAK 810 - M</v>
      </c>
      <c r="C99" s="8" t="str">
        <f>IFERROR(INDEX(Source!$A$2:$S$86,Source!$AA84,COLUMNS(Source!$X$2:Z84)),"")</f>
        <v>Sans Fil</v>
      </c>
      <c r="D99" s="8" t="str">
        <f>IFERROR(INDEX(Source!$A$2:$S$86,Source!$AA84,COLUMNS(Source!$X$2:AA84)),"")</f>
        <v>7810-109</v>
      </c>
      <c r="E99" s="18">
        <f>IFERROR(INDEX(Source!$A$2:$S$86,Source!$AA84,COLUMNS(Source!$X$2:AB84)),"")</f>
        <v>599</v>
      </c>
      <c r="F99" s="8" t="str">
        <f>IFERROR(INDEX(Source!$A$2:$S$86,Source!$AA84,COLUMNS(Source!$X$2:AC84)),"")</f>
        <v>Speakerphone</v>
      </c>
      <c r="G99" s="40">
        <f>IFERROR(INDEX(Source!$A$2:$S$86,Source!$AA84,COLUMNS(Source!$X$2:AD84)),"")</f>
        <v>0</v>
      </c>
      <c r="H99" s="8" t="str">
        <f>IFERROR(INDEX(Source!$A$2:$S$86,Source!$AA84,COLUMNS(Source!$X$2:AE84)),"")</f>
        <v>100m</v>
      </c>
      <c r="I99" s="8" t="str">
        <f>IFERROR(INDEX(Source!$A$2:$S$86,Source!$AA84,COLUMNS(Source!$X$2:AF84)),"")</f>
        <v>15h</v>
      </c>
      <c r="J99" s="40">
        <f>IFERROR(INDEX(Source!$A$2:$S$86,Source!$AA84,COLUMNS(Source!$X$2:AG84)),"")</f>
        <v>0</v>
      </c>
      <c r="K99" s="40">
        <f>IFERROR(INDEX(Source!$A$2:$S$86,Source!$AA84,COLUMNS(Source!$X$2:AH84)),"")</f>
        <v>0</v>
      </c>
      <c r="L99" s="40">
        <f>IFERROR(INDEX(Source!$A$2:$S$86,Source!$AA84,COLUMNS(Source!$X$2:AI84)),"")</f>
        <v>0</v>
      </c>
      <c r="M99" s="40">
        <f>IFERROR(INDEX(Source!$A$2:$S$86,Source!$AA84,COLUMNS(Source!$X$2:AJ84)),"")</f>
        <v>0</v>
      </c>
      <c r="N99" s="40">
        <f>IFERROR(INDEX(Source!$A$2:$S$86,Source!$AA84,COLUMNS(Source!$X$2:AK84)),"")</f>
        <v>0</v>
      </c>
      <c r="O99" s="40">
        <f>IFERROR(INDEX(Source!$A$2:$S$86,Source!$AA84,COLUMNS(Source!$X$2:AL84)),"")</f>
        <v>0</v>
      </c>
      <c r="P99" s="40" t="str">
        <f>IFERROR(INDEX(Source!$A$2:$S$86,Source!$AA84,COLUMNS(Source!$X$2:AM84)),"")</f>
        <v>300g</v>
      </c>
      <c r="Q99" s="40" t="str">
        <f>IFERROR(INDEX(Source!$A$2:$S$86,Source!$AA84,COLUMNS(Source!$X$2:AN84)),"")</f>
        <v>Oui</v>
      </c>
      <c r="R99" s="40">
        <f>IFERROR(INDEX(Source!$A$2:$S$86,Source!$AA84,COLUMNS(Source!$X$2:AO84)),"")</f>
        <v>0</v>
      </c>
      <c r="S99" s="40" t="str">
        <f>IFERROR(INDEX(Source!$A$2:$S$86,Source!$AA84,COLUMNS(Source!$X$2:AP84)),"")</f>
        <v>2 ans</v>
      </c>
    </row>
    <row r="100" spans="1:19" x14ac:dyDescent="0.25">
      <c r="A100" s="8" t="str">
        <f>IFERROR(INDEX(Source!$A$2:$S$86,Source!$AA85,COLUMNS(Source!$X$2:X85)),"")</f>
        <v>PLANTRONICS</v>
      </c>
      <c r="B100" s="8" t="str">
        <f>IFERROR(INDEX(Source!$A$2:$S$86,Source!$AA85,COLUMNS(Source!$X$2:Y85)),"")</f>
        <v>CALISTO 620</v>
      </c>
      <c r="C100" s="8" t="str">
        <f>IFERROR(INDEX(Source!$A$2:$S$86,Source!$AA85,COLUMNS(Source!$X$2:Z85)),"")</f>
        <v>Sans Fil</v>
      </c>
      <c r="D100" s="8" t="str">
        <f>IFERROR(INDEX(Source!$A$2:$S$86,Source!$AA85,COLUMNS(Source!$X$2:AA85)),"")</f>
        <v>86700-02</v>
      </c>
      <c r="E100" s="18">
        <f>IFERROR(INDEX(Source!$A$2:$S$86,Source!$AA85,COLUMNS(Source!$X$2:AB85)),"")</f>
        <v>129</v>
      </c>
      <c r="F100" s="8" t="str">
        <f>IFERROR(INDEX(Source!$A$2:$S$86,Source!$AA85,COLUMNS(Source!$X$2:AC85)),"")</f>
        <v>Speakerphone</v>
      </c>
      <c r="G100" s="40">
        <f>IFERROR(INDEX(Source!$A$2:$S$86,Source!$AA85,COLUMNS(Source!$X$2:AD85)),"")</f>
        <v>0</v>
      </c>
      <c r="H100" s="8" t="str">
        <f>IFERROR(INDEX(Source!$A$2:$S$86,Source!$AA85,COLUMNS(Source!$X$2:AE85)),"")</f>
        <v>50m</v>
      </c>
      <c r="I100" s="8" t="str">
        <f>IFERROR(INDEX(Source!$A$2:$S$86,Source!$AA85,COLUMNS(Source!$X$2:AF85)),"")</f>
        <v>7h</v>
      </c>
      <c r="J100" s="40" t="str">
        <f>IFERROR(INDEX(Source!$A$2:$S$86,Source!$AA85,COLUMNS(Source!$X$2:AG85)),"")</f>
        <v>5 jours</v>
      </c>
      <c r="K100" s="40">
        <f>IFERROR(INDEX(Source!$A$2:$S$86,Source!$AA85,COLUMNS(Source!$X$2:AH85)),"")</f>
        <v>0</v>
      </c>
      <c r="L100" s="40">
        <f>IFERROR(INDEX(Source!$A$2:$S$86,Source!$AA85,COLUMNS(Source!$X$2:AI85)),"")</f>
        <v>0</v>
      </c>
      <c r="M100" s="40">
        <f>IFERROR(INDEX(Source!$A$2:$S$86,Source!$AA85,COLUMNS(Source!$X$2:AJ85)),"")</f>
        <v>0</v>
      </c>
      <c r="N100" s="40">
        <f>IFERROR(INDEX(Source!$A$2:$S$86,Source!$AA85,COLUMNS(Source!$X$2:AK85)),"")</f>
        <v>0</v>
      </c>
      <c r="O100" s="40" t="str">
        <f>IFERROR(INDEX(Source!$A$2:$S$86,Source!$AA85,COLUMNS(Source!$X$2:AL85)),"")</f>
        <v>Oui</v>
      </c>
      <c r="P100" s="40" t="str">
        <f>IFERROR(INDEX(Source!$A$2:$S$86,Source!$AA85,COLUMNS(Source!$X$2:AM85)),"")</f>
        <v>430g</v>
      </c>
      <c r="Q100" s="40" t="str">
        <f>IFERROR(INDEX(Source!$A$2:$S$86,Source!$AA85,COLUMNS(Source!$X$2:AN85)),"")</f>
        <v>Non</v>
      </c>
      <c r="R100" s="40">
        <f>IFERROR(INDEX(Source!$A$2:$S$86,Source!$AA85,COLUMNS(Source!$X$2:AO85)),"")</f>
        <v>0</v>
      </c>
      <c r="S100" s="40" t="str">
        <f>IFERROR(INDEX(Source!$A$2:$S$86,Source!$AA85,COLUMNS(Source!$X$2:AP85)),"")</f>
        <v>2 ans</v>
      </c>
    </row>
    <row r="101" spans="1:19" x14ac:dyDescent="0.25">
      <c r="A101" s="8" t="str">
        <f>IFERROR(INDEX(Source!$A$2:$S$86,Source!$AA86,COLUMNS(Source!$X$2:X86)),"")</f>
        <v>PLANTRONICS</v>
      </c>
      <c r="B101" s="8" t="str">
        <f>IFERROR(INDEX(Source!$A$2:$S$86,Source!$AA86,COLUMNS(Source!$X$2:Y86)),"")</f>
        <v>CALISTO 620 - M</v>
      </c>
      <c r="C101" s="8" t="str">
        <f>IFERROR(INDEX(Source!$A$2:$S$86,Source!$AA86,COLUMNS(Source!$X$2:Z86)),"")</f>
        <v>Sans Fil</v>
      </c>
      <c r="D101" s="8" t="str">
        <f>IFERROR(INDEX(Source!$A$2:$S$86,Source!$AA86,COLUMNS(Source!$X$2:AA86)),"")</f>
        <v>86701-02</v>
      </c>
      <c r="E101" s="18">
        <f>IFERROR(INDEX(Source!$A$2:$S$86,Source!$AA86,COLUMNS(Source!$X$2:AB86)),"")</f>
        <v>129</v>
      </c>
      <c r="F101" s="8" t="str">
        <f>IFERROR(INDEX(Source!$A$2:$S$86,Source!$AA86,COLUMNS(Source!$X$2:AC86)),"")</f>
        <v>Speakerphone</v>
      </c>
      <c r="G101" s="40">
        <f>IFERROR(INDEX(Source!$A$2:$S$86,Source!$AA86,COLUMNS(Source!$X$2:AD86)),"")</f>
        <v>0</v>
      </c>
      <c r="H101" s="8" t="str">
        <f>IFERROR(INDEX(Source!$A$2:$S$86,Source!$AA86,COLUMNS(Source!$X$2:AE86)),"")</f>
        <v>50m</v>
      </c>
      <c r="I101" s="8" t="str">
        <f>IFERROR(INDEX(Source!$A$2:$S$86,Source!$AA86,COLUMNS(Source!$X$2:AF86)),"")</f>
        <v>7h</v>
      </c>
      <c r="J101" s="40" t="str">
        <f>IFERROR(INDEX(Source!$A$2:$S$86,Source!$AA86,COLUMNS(Source!$X$2:AG86)),"")</f>
        <v>5 jours</v>
      </c>
      <c r="K101" s="40">
        <f>IFERROR(INDEX(Source!$A$2:$S$86,Source!$AA86,COLUMNS(Source!$X$2:AH86)),"")</f>
        <v>0</v>
      </c>
      <c r="L101" s="40">
        <f>IFERROR(INDEX(Source!$A$2:$S$86,Source!$AA86,COLUMNS(Source!$X$2:AI86)),"")</f>
        <v>0</v>
      </c>
      <c r="M101" s="40">
        <f>IFERROR(INDEX(Source!$A$2:$S$86,Source!$AA86,COLUMNS(Source!$X$2:AJ86)),"")</f>
        <v>0</v>
      </c>
      <c r="N101" s="40">
        <f>IFERROR(INDEX(Source!$A$2:$S$86,Source!$AA86,COLUMNS(Source!$X$2:AK86)),"")</f>
        <v>0</v>
      </c>
      <c r="O101" s="40" t="str">
        <f>IFERROR(INDEX(Source!$A$2:$S$86,Source!$AA86,COLUMNS(Source!$X$2:AL86)),"")</f>
        <v>Oui</v>
      </c>
      <c r="P101" s="40" t="str">
        <f>IFERROR(INDEX(Source!$A$2:$S$86,Source!$AA86,COLUMNS(Source!$X$2:AM86)),"")</f>
        <v>430g</v>
      </c>
      <c r="Q101" s="40" t="str">
        <f>IFERROR(INDEX(Source!$A$2:$S$86,Source!$AA86,COLUMNS(Source!$X$2:AN86)),"")</f>
        <v>Oui</v>
      </c>
      <c r="R101" s="40">
        <f>IFERROR(INDEX(Source!$A$2:$S$86,Source!$AA86,COLUMNS(Source!$X$2:AO86)),"")</f>
        <v>0</v>
      </c>
      <c r="S101" s="40" t="str">
        <f>IFERROR(INDEX(Source!$A$2:$S$86,Source!$AA86,COLUMNS(Source!$X$2:AP86)),"")</f>
        <v>2 ans</v>
      </c>
    </row>
    <row r="102" spans="1:19" x14ac:dyDescent="0.25">
      <c r="A102" s="8" t="str">
        <f>IFERROR(INDEX(Source!$A$2:$S$86,Source!$AA87,COLUMNS(Source!$X$2:X87)),"")</f>
        <v/>
      </c>
      <c r="B102" s="8" t="str">
        <f>IFERROR(INDEX(Source!$A$2:$S$86,Source!$AA87,COLUMNS(Source!$X$2:Y87)),"")</f>
        <v/>
      </c>
      <c r="C102" s="8" t="str">
        <f>IFERROR(INDEX(Source!$A$2:$S$86,Source!$AA87,COLUMNS(Source!$X$2:Z87)),"")</f>
        <v/>
      </c>
      <c r="D102" s="8" t="str">
        <f>IFERROR(INDEX(Source!$A$2:$S$86,Source!$AA87,COLUMNS(Source!$X$2:AA87)),"")</f>
        <v/>
      </c>
      <c r="E102" s="8" t="str">
        <f>IFERROR(INDEX(Source!$A$2:$S$86,Source!$AA87,COLUMNS(Source!$X$2:AB87)),"")</f>
        <v/>
      </c>
      <c r="F102" s="8" t="str">
        <f>IFERROR(INDEX(Source!$A$2:$S$86,Source!$AA87,COLUMNS(Source!$X$2:AC87)),"")</f>
        <v/>
      </c>
      <c r="G102" s="8" t="str">
        <f>IFERROR(INDEX(Source!$A$2:$S$86,Source!$AA87,COLUMNS(Source!$X$2:AD87)),"")</f>
        <v/>
      </c>
      <c r="H102" s="8" t="str">
        <f>IFERROR(INDEX(Source!$A$2:$S$86,Source!$AA87,COLUMNS(Source!$X$2:AE87)),"")</f>
        <v/>
      </c>
      <c r="I102" s="8" t="str">
        <f>IFERROR(INDEX(Source!$A$2:$S$86,Source!$AA87,COLUMNS(Source!$X$2:AF87)),"")</f>
        <v/>
      </c>
      <c r="J102" s="8" t="str">
        <f>IFERROR(INDEX(Source!$A$2:$S$86,Source!$AA87,COLUMNS(Source!$X$2:AG87)),"")</f>
        <v/>
      </c>
      <c r="K102" s="8" t="str">
        <f>IFERROR(INDEX(Source!$A$2:$S$86,Source!$AA87,COLUMNS(Source!$X$2:AH87)),"")</f>
        <v/>
      </c>
      <c r="L102" s="8" t="str">
        <f>IFERROR(INDEX(Source!$A$2:$S$86,Source!$AA87,COLUMNS(Source!$X$2:AI87)),"")</f>
        <v/>
      </c>
      <c r="M102" s="8" t="str">
        <f>IFERROR(INDEX(Source!$A$2:$S$86,Source!$AA87,COLUMNS(Source!$X$2:AJ87)),"")</f>
        <v/>
      </c>
      <c r="N102" s="8" t="str">
        <f>IFERROR(INDEX(Source!$A$2:$S$86,Source!$AA87,COLUMNS(Source!$X$2:AK87)),"")</f>
        <v/>
      </c>
      <c r="O102" s="8" t="str">
        <f>IFERROR(INDEX(Source!$A$2:$S$86,Source!$AA87,COLUMNS(Source!$X$2:AL87)),"")</f>
        <v/>
      </c>
      <c r="P102" s="8" t="str">
        <f>IFERROR(INDEX(Source!$A$2:$S$86,Source!$AA87,COLUMNS(Source!$X$2:AM87)),"")</f>
        <v/>
      </c>
      <c r="Q102" s="8" t="str">
        <f>IFERROR(INDEX(Source!$A$2:$S$86,Source!$AA87,COLUMNS(Source!$X$2:AN87)),"")</f>
        <v/>
      </c>
      <c r="R102" s="8" t="str">
        <f>IFERROR(INDEX(Source!$A$2:$S$86,Source!$AA87,COLUMNS(Source!$X$2:AO87)),"")</f>
        <v/>
      </c>
      <c r="S102" s="8" t="str">
        <f>IFERROR(INDEX(Source!$A$2:$S$86,Source!$AA87,COLUMNS(Source!$X$2:AP87)),"")</f>
        <v/>
      </c>
    </row>
    <row r="103" spans="1:19" x14ac:dyDescent="0.25">
      <c r="A103" s="8" t="str">
        <f>IFERROR(INDEX(Source!$A$2:$S$86,Source!$AA88,COLUMNS(Source!$X$2:X88)),"")</f>
        <v/>
      </c>
      <c r="B103" s="8" t="str">
        <f>IFERROR(INDEX(Source!$A$2:$S$86,Source!$AA88,COLUMNS(Source!$X$2:Y88)),"")</f>
        <v/>
      </c>
      <c r="C103" s="8" t="str">
        <f>IFERROR(INDEX(Source!$A$2:$S$86,Source!$AA88,COLUMNS(Source!$X$2:Z88)),"")</f>
        <v/>
      </c>
      <c r="D103" s="8" t="str">
        <f>IFERROR(INDEX(Source!$A$2:$S$86,Source!$AA88,COLUMNS(Source!$X$2:AA88)),"")</f>
        <v/>
      </c>
      <c r="E103" s="8" t="str">
        <f>IFERROR(INDEX(Source!$A$2:$S$86,Source!$AA88,COLUMNS(Source!$X$2:AB88)),"")</f>
        <v/>
      </c>
      <c r="F103" s="8" t="str">
        <f>IFERROR(INDEX(Source!$A$2:$S$86,Source!$AA88,COLUMNS(Source!$X$2:AC88)),"")</f>
        <v/>
      </c>
      <c r="G103" s="8" t="str">
        <f>IFERROR(INDEX(Source!$A$2:$S$86,Source!$AA88,COLUMNS(Source!$X$2:AD88)),"")</f>
        <v/>
      </c>
      <c r="H103" s="8" t="str">
        <f>IFERROR(INDEX(Source!$A$2:$S$86,Source!$AA88,COLUMNS(Source!$X$2:AE88)),"")</f>
        <v/>
      </c>
      <c r="I103" s="8" t="str">
        <f>IFERROR(INDEX(Source!$A$2:$S$86,Source!$AA88,COLUMNS(Source!$X$2:AF88)),"")</f>
        <v/>
      </c>
      <c r="J103" s="8" t="str">
        <f>IFERROR(INDEX(Source!$A$2:$S$86,Source!$AA88,COLUMNS(Source!$X$2:AG88)),"")</f>
        <v/>
      </c>
      <c r="K103" s="8" t="str">
        <f>IFERROR(INDEX(Source!$A$2:$S$86,Source!$AA88,COLUMNS(Source!$X$2:AH88)),"")</f>
        <v/>
      </c>
      <c r="L103" s="8" t="str">
        <f>IFERROR(INDEX(Source!$A$2:$S$86,Source!$AA88,COLUMNS(Source!$X$2:AI88)),"")</f>
        <v/>
      </c>
      <c r="M103" s="8" t="str">
        <f>IFERROR(INDEX(Source!$A$2:$S$86,Source!$AA88,COLUMNS(Source!$X$2:AJ88)),"")</f>
        <v/>
      </c>
      <c r="N103" s="8" t="str">
        <f>IFERROR(INDEX(Source!$A$2:$S$86,Source!$AA88,COLUMNS(Source!$X$2:AK88)),"")</f>
        <v/>
      </c>
      <c r="O103" s="8" t="str">
        <f>IFERROR(INDEX(Source!$A$2:$S$86,Source!$AA88,COLUMNS(Source!$X$2:AL88)),"")</f>
        <v/>
      </c>
      <c r="P103" s="8" t="str">
        <f>IFERROR(INDEX(Source!$A$2:$S$86,Source!$AA88,COLUMNS(Source!$X$2:AM88)),"")</f>
        <v/>
      </c>
      <c r="Q103" s="8" t="str">
        <f>IFERROR(INDEX(Source!$A$2:$S$86,Source!$AA88,COLUMNS(Source!$X$2:AN88)),"")</f>
        <v/>
      </c>
      <c r="R103" s="8" t="str">
        <f>IFERROR(INDEX(Source!$A$2:$S$86,Source!$AA88,COLUMNS(Source!$X$2:AO88)),"")</f>
        <v/>
      </c>
      <c r="S103" s="8" t="str">
        <f>IFERROR(INDEX(Source!$A$2:$S$86,Source!$AA88,COLUMNS(Source!$X$2:AP88)),"")</f>
        <v/>
      </c>
    </row>
    <row r="104" spans="1:19" x14ac:dyDescent="0.25">
      <c r="A104" s="8" t="str">
        <f>IFERROR(INDEX(Source!$A$2:$S$86,Source!$AA89,COLUMNS(Source!$X$2:X89)),"")</f>
        <v/>
      </c>
      <c r="B104" s="8" t="str">
        <f>IFERROR(INDEX(Source!$A$2:$S$86,Source!$AA89,COLUMNS(Source!$X$2:Y89)),"")</f>
        <v/>
      </c>
      <c r="C104" s="8" t="str">
        <f>IFERROR(INDEX(Source!$A$2:$S$86,Source!$AA89,COLUMNS(Source!$X$2:Z89)),"")</f>
        <v/>
      </c>
      <c r="D104" s="8" t="str">
        <f>IFERROR(INDEX(Source!$A$2:$S$86,Source!$AA89,COLUMNS(Source!$X$2:AA89)),"")</f>
        <v/>
      </c>
      <c r="E104" s="8" t="str">
        <f>IFERROR(INDEX(Source!$A$2:$S$86,Source!$AA89,COLUMNS(Source!$X$2:AB89)),"")</f>
        <v/>
      </c>
      <c r="F104" s="8" t="str">
        <f>IFERROR(INDEX(Source!$A$2:$S$86,Source!$AA89,COLUMNS(Source!$X$2:AC89)),"")</f>
        <v/>
      </c>
      <c r="G104" s="8" t="str">
        <f>IFERROR(INDEX(Source!$A$2:$S$86,Source!$AA89,COLUMNS(Source!$X$2:AD89)),"")</f>
        <v/>
      </c>
      <c r="H104" s="8" t="str">
        <f>IFERROR(INDEX(Source!$A$2:$S$86,Source!$AA89,COLUMNS(Source!$X$2:AE89)),"")</f>
        <v/>
      </c>
      <c r="I104" s="8" t="str">
        <f>IFERROR(INDEX(Source!$A$2:$S$86,Source!$AA89,COLUMNS(Source!$X$2:AF89)),"")</f>
        <v/>
      </c>
      <c r="J104" s="8" t="str">
        <f>IFERROR(INDEX(Source!$A$2:$S$86,Source!$AA89,COLUMNS(Source!$X$2:AG89)),"")</f>
        <v/>
      </c>
      <c r="K104" s="8" t="str">
        <f>IFERROR(INDEX(Source!$A$2:$S$86,Source!$AA89,COLUMNS(Source!$X$2:AH89)),"")</f>
        <v/>
      </c>
      <c r="L104" s="8" t="str">
        <f>IFERROR(INDEX(Source!$A$2:$S$86,Source!$AA89,COLUMNS(Source!$X$2:AI89)),"")</f>
        <v/>
      </c>
      <c r="M104" s="8" t="str">
        <f>IFERROR(INDEX(Source!$A$2:$S$86,Source!$AA89,COLUMNS(Source!$X$2:AJ89)),"")</f>
        <v/>
      </c>
      <c r="N104" s="8" t="str">
        <f>IFERROR(INDEX(Source!$A$2:$S$86,Source!$AA89,COLUMNS(Source!$X$2:AK89)),"")</f>
        <v/>
      </c>
      <c r="O104" s="8" t="str">
        <f>IFERROR(INDEX(Source!$A$2:$S$86,Source!$AA89,COLUMNS(Source!$X$2:AL89)),"")</f>
        <v/>
      </c>
      <c r="P104" s="8" t="str">
        <f>IFERROR(INDEX(Source!$A$2:$S$86,Source!$AA89,COLUMNS(Source!$X$2:AM89)),"")</f>
        <v/>
      </c>
      <c r="Q104" s="8" t="str">
        <f>IFERROR(INDEX(Source!$A$2:$S$86,Source!$AA89,COLUMNS(Source!$X$2:AN89)),"")</f>
        <v/>
      </c>
      <c r="R104" s="8" t="str">
        <f>IFERROR(INDEX(Source!$A$2:$S$86,Source!$AA89,COLUMNS(Source!$X$2:AO89)),"")</f>
        <v/>
      </c>
      <c r="S104" s="8" t="str">
        <f>IFERROR(INDEX(Source!$A$2:$S$86,Source!$AA89,COLUMNS(Source!$X$2:AP89)),"")</f>
        <v/>
      </c>
    </row>
    <row r="105" spans="1:19" x14ac:dyDescent="0.25">
      <c r="A105" s="8" t="str">
        <f>IFERROR(INDEX(Source!$A$2:$S$86,Source!$AA90,COLUMNS(Source!$X$2:X90)),"")</f>
        <v/>
      </c>
      <c r="B105" s="8" t="str">
        <f>IFERROR(INDEX(Source!$A$2:$S$86,Source!$AA90,COLUMNS(Source!$X$2:Y90)),"")</f>
        <v/>
      </c>
      <c r="C105" s="8" t="str">
        <f>IFERROR(INDEX(Source!$A$2:$S$86,Source!$AA90,COLUMNS(Source!$X$2:Z90)),"")</f>
        <v/>
      </c>
      <c r="D105" s="8" t="str">
        <f>IFERROR(INDEX(Source!$A$2:$S$86,Source!$AA90,COLUMNS(Source!$X$2:AA90)),"")</f>
        <v/>
      </c>
      <c r="E105" s="8" t="str">
        <f>IFERROR(INDEX(Source!$A$2:$S$86,Source!$AA90,COLUMNS(Source!$X$2:AB90)),"")</f>
        <v/>
      </c>
      <c r="F105" s="8" t="str">
        <f>IFERROR(INDEX(Source!$A$2:$S$86,Source!$AA90,COLUMNS(Source!$X$2:AC90)),"")</f>
        <v/>
      </c>
      <c r="G105" s="8" t="str">
        <f>IFERROR(INDEX(Source!$A$2:$S$86,Source!$AA90,COLUMNS(Source!$X$2:AD90)),"")</f>
        <v/>
      </c>
      <c r="H105" s="8" t="str">
        <f>IFERROR(INDEX(Source!$A$2:$S$86,Source!$AA90,COLUMNS(Source!$X$2:AE90)),"")</f>
        <v/>
      </c>
      <c r="I105" s="8" t="str">
        <f>IFERROR(INDEX(Source!$A$2:$S$86,Source!$AA90,COLUMNS(Source!$X$2:AF90)),"")</f>
        <v/>
      </c>
      <c r="J105" s="8" t="str">
        <f>IFERROR(INDEX(Source!$A$2:$S$86,Source!$AA90,COLUMNS(Source!$X$2:AG90)),"")</f>
        <v/>
      </c>
      <c r="K105" s="8" t="str">
        <f>IFERROR(INDEX(Source!$A$2:$S$86,Source!$AA90,COLUMNS(Source!$X$2:AH90)),"")</f>
        <v/>
      </c>
      <c r="L105" s="8" t="str">
        <f>IFERROR(INDEX(Source!$A$2:$S$86,Source!$AA90,COLUMNS(Source!$X$2:AI90)),"")</f>
        <v/>
      </c>
      <c r="M105" s="8" t="str">
        <f>IFERROR(INDEX(Source!$A$2:$S$86,Source!$AA90,COLUMNS(Source!$X$2:AJ90)),"")</f>
        <v/>
      </c>
      <c r="N105" s="8" t="str">
        <f>IFERROR(INDEX(Source!$A$2:$S$86,Source!$AA90,COLUMNS(Source!$X$2:AK90)),"")</f>
        <v/>
      </c>
      <c r="O105" s="8" t="str">
        <f>IFERROR(INDEX(Source!$A$2:$S$86,Source!$AA90,COLUMNS(Source!$X$2:AL90)),"")</f>
        <v/>
      </c>
      <c r="P105" s="8" t="str">
        <f>IFERROR(INDEX(Source!$A$2:$S$86,Source!$AA90,COLUMNS(Source!$X$2:AM90)),"")</f>
        <v/>
      </c>
      <c r="Q105" s="8" t="str">
        <f>IFERROR(INDEX(Source!$A$2:$S$86,Source!$AA90,COLUMNS(Source!$X$2:AN90)),"")</f>
        <v/>
      </c>
      <c r="R105" s="8" t="str">
        <f>IFERROR(INDEX(Source!$A$2:$S$86,Source!$AA90,COLUMNS(Source!$X$2:AO90)),"")</f>
        <v/>
      </c>
      <c r="S105" s="8" t="str">
        <f>IFERROR(INDEX(Source!$A$2:$S$86,Source!$AA90,COLUMNS(Source!$X$2:AP90)),"")</f>
        <v/>
      </c>
    </row>
    <row r="106" spans="1:19" x14ac:dyDescent="0.25">
      <c r="A106" s="8" t="str">
        <f>IFERROR(INDEX(Source!$A$2:$S$86,Source!$AA91,COLUMNS(Source!$X$2:X91)),"")</f>
        <v/>
      </c>
      <c r="B106" s="8" t="str">
        <f>IFERROR(INDEX(Source!$A$2:$S$86,Source!$AA91,COLUMNS(Source!$X$2:Y91)),"")</f>
        <v/>
      </c>
      <c r="C106" s="8" t="str">
        <f>IFERROR(INDEX(Source!$A$2:$S$86,Source!$AA91,COLUMNS(Source!$X$2:Z91)),"")</f>
        <v/>
      </c>
      <c r="D106" s="8" t="str">
        <f>IFERROR(INDEX(Source!$A$2:$S$86,Source!$AA91,COLUMNS(Source!$X$2:AA91)),"")</f>
        <v/>
      </c>
      <c r="E106" s="8" t="str">
        <f>IFERROR(INDEX(Source!$A$2:$S$86,Source!$AA91,COLUMNS(Source!$X$2:AB91)),"")</f>
        <v/>
      </c>
      <c r="F106" s="8" t="str">
        <f>IFERROR(INDEX(Source!$A$2:$S$86,Source!$AA91,COLUMNS(Source!$X$2:AC91)),"")</f>
        <v/>
      </c>
      <c r="G106" s="8" t="str">
        <f>IFERROR(INDEX(Source!$A$2:$S$86,Source!$AA91,COLUMNS(Source!$X$2:AD91)),"")</f>
        <v/>
      </c>
      <c r="H106" s="8" t="str">
        <f>IFERROR(INDEX(Source!$A$2:$S$86,Source!$AA91,COLUMNS(Source!$X$2:AE91)),"")</f>
        <v/>
      </c>
      <c r="I106" s="8" t="str">
        <f>IFERROR(INDEX(Source!$A$2:$S$86,Source!$AA91,COLUMNS(Source!$X$2:AF91)),"")</f>
        <v/>
      </c>
      <c r="J106" s="8" t="str">
        <f>IFERROR(INDEX(Source!$A$2:$S$86,Source!$AA91,COLUMNS(Source!$X$2:AG91)),"")</f>
        <v/>
      </c>
      <c r="K106" s="8" t="str">
        <f>IFERROR(INDEX(Source!$A$2:$S$86,Source!$AA91,COLUMNS(Source!$X$2:AH91)),"")</f>
        <v/>
      </c>
      <c r="L106" s="8" t="str">
        <f>IFERROR(INDEX(Source!$A$2:$S$86,Source!$AA91,COLUMNS(Source!$X$2:AI91)),"")</f>
        <v/>
      </c>
      <c r="M106" s="8" t="str">
        <f>IFERROR(INDEX(Source!$A$2:$S$86,Source!$AA91,COLUMNS(Source!$X$2:AJ91)),"")</f>
        <v/>
      </c>
      <c r="N106" s="8" t="str">
        <f>IFERROR(INDEX(Source!$A$2:$S$86,Source!$AA91,COLUMNS(Source!$X$2:AK91)),"")</f>
        <v/>
      </c>
      <c r="O106" s="8" t="str">
        <f>IFERROR(INDEX(Source!$A$2:$S$86,Source!$AA91,COLUMNS(Source!$X$2:AL91)),"")</f>
        <v/>
      </c>
      <c r="P106" s="8" t="str">
        <f>IFERROR(INDEX(Source!$A$2:$S$86,Source!$AA91,COLUMNS(Source!$X$2:AM91)),"")</f>
        <v/>
      </c>
      <c r="Q106" s="8" t="str">
        <f>IFERROR(INDEX(Source!$A$2:$S$86,Source!$AA91,COLUMNS(Source!$X$2:AN91)),"")</f>
        <v/>
      </c>
      <c r="R106" s="8" t="str">
        <f>IFERROR(INDEX(Source!$A$2:$S$86,Source!$AA91,COLUMNS(Source!$X$2:AO91)),"")</f>
        <v/>
      </c>
      <c r="S106" s="8" t="str">
        <f>IFERROR(INDEX(Source!$A$2:$S$86,Source!$AA91,COLUMNS(Source!$X$2:AP91)),"")</f>
        <v/>
      </c>
    </row>
    <row r="107" spans="1:19" x14ac:dyDescent="0.25">
      <c r="A107" s="8" t="str">
        <f>IFERROR(INDEX(Source!$A$2:$S$86,Source!$AA92,COLUMNS(Source!$X$2:X92)),"")</f>
        <v/>
      </c>
      <c r="B107" s="8" t="str">
        <f>IFERROR(INDEX(Source!$A$2:$S$86,Source!$AA92,COLUMNS(Source!$X$2:Y92)),"")</f>
        <v/>
      </c>
      <c r="C107" s="8" t="str">
        <f>IFERROR(INDEX(Source!$A$2:$S$86,Source!$AA92,COLUMNS(Source!$X$2:Z92)),"")</f>
        <v/>
      </c>
      <c r="D107" s="8" t="str">
        <f>IFERROR(INDEX(Source!$A$2:$S$86,Source!$AA92,COLUMNS(Source!$X$2:AA92)),"")</f>
        <v/>
      </c>
      <c r="E107" s="8" t="str">
        <f>IFERROR(INDEX(Source!$A$2:$S$86,Source!$AA92,COLUMNS(Source!$X$2:AB92)),"")</f>
        <v/>
      </c>
      <c r="F107" s="8" t="str">
        <f>IFERROR(INDEX(Source!$A$2:$S$86,Source!$AA92,COLUMNS(Source!$X$2:AC92)),"")</f>
        <v/>
      </c>
      <c r="G107" s="8" t="str">
        <f>IFERROR(INDEX(Source!$A$2:$S$86,Source!$AA92,COLUMNS(Source!$X$2:AD92)),"")</f>
        <v/>
      </c>
      <c r="H107" s="8" t="str">
        <f>IFERROR(INDEX(Source!$A$2:$S$86,Source!$AA92,COLUMNS(Source!$X$2:AE92)),"")</f>
        <v/>
      </c>
      <c r="I107" s="8" t="str">
        <f>IFERROR(INDEX(Source!$A$2:$S$86,Source!$AA92,COLUMNS(Source!$X$2:AF92)),"")</f>
        <v/>
      </c>
      <c r="J107" s="8" t="str">
        <f>IFERROR(INDEX(Source!$A$2:$S$86,Source!$AA92,COLUMNS(Source!$X$2:AG92)),"")</f>
        <v/>
      </c>
      <c r="K107" s="8" t="str">
        <f>IFERROR(INDEX(Source!$A$2:$S$86,Source!$AA92,COLUMNS(Source!$X$2:AH92)),"")</f>
        <v/>
      </c>
      <c r="L107" s="8" t="str">
        <f>IFERROR(INDEX(Source!$A$2:$S$86,Source!$AA92,COLUMNS(Source!$X$2:AI92)),"")</f>
        <v/>
      </c>
      <c r="M107" s="8" t="str">
        <f>IFERROR(INDEX(Source!$A$2:$S$86,Source!$AA92,COLUMNS(Source!$X$2:AJ92)),"")</f>
        <v/>
      </c>
      <c r="N107" s="8" t="str">
        <f>IFERROR(INDEX(Source!$A$2:$S$86,Source!$AA92,COLUMNS(Source!$X$2:AK92)),"")</f>
        <v/>
      </c>
      <c r="O107" s="8" t="str">
        <f>IFERROR(INDEX(Source!$A$2:$S$86,Source!$AA92,COLUMNS(Source!$X$2:AL92)),"")</f>
        <v/>
      </c>
      <c r="P107" s="8" t="str">
        <f>IFERROR(INDEX(Source!$A$2:$S$86,Source!$AA92,COLUMNS(Source!$X$2:AM92)),"")</f>
        <v/>
      </c>
      <c r="Q107" s="8" t="str">
        <f>IFERROR(INDEX(Source!$A$2:$S$86,Source!$AA92,COLUMNS(Source!$X$2:AN92)),"")</f>
        <v/>
      </c>
      <c r="R107" s="8" t="str">
        <f>IFERROR(INDEX(Source!$A$2:$S$86,Source!$AA92,COLUMNS(Source!$X$2:AO92)),"")</f>
        <v/>
      </c>
      <c r="S107" s="8" t="str">
        <f>IFERROR(INDEX(Source!$A$2:$S$86,Source!$AA92,COLUMNS(Source!$X$2:AP92)),"")</f>
        <v/>
      </c>
    </row>
    <row r="108" spans="1:19" x14ac:dyDescent="0.25">
      <c r="A108" s="8" t="str">
        <f>IFERROR(INDEX(Source!$A$2:$S$86,Source!$AA93,COLUMNS(Source!$X$2:X93)),"")</f>
        <v/>
      </c>
      <c r="B108" s="8" t="str">
        <f>IFERROR(INDEX(Source!$A$2:$S$86,Source!$AA93,COLUMNS(Source!$X$2:Y93)),"")</f>
        <v/>
      </c>
      <c r="C108" s="8" t="str">
        <f>IFERROR(INDEX(Source!$A$2:$S$86,Source!$AA93,COLUMNS(Source!$X$2:Z93)),"")</f>
        <v/>
      </c>
      <c r="D108" s="8" t="str">
        <f>IFERROR(INDEX(Source!$A$2:$S$86,Source!$AA93,COLUMNS(Source!$X$2:AA93)),"")</f>
        <v/>
      </c>
      <c r="E108" s="8" t="str">
        <f>IFERROR(INDEX(Source!$A$2:$S$86,Source!$AA93,COLUMNS(Source!$X$2:AB93)),"")</f>
        <v/>
      </c>
      <c r="F108" s="8" t="str">
        <f>IFERROR(INDEX(Source!$A$2:$S$86,Source!$AA93,COLUMNS(Source!$X$2:AC93)),"")</f>
        <v/>
      </c>
      <c r="G108" s="8" t="str">
        <f>IFERROR(INDEX(Source!$A$2:$S$86,Source!$AA93,COLUMNS(Source!$X$2:AD93)),"")</f>
        <v/>
      </c>
      <c r="H108" s="8" t="str">
        <f>IFERROR(INDEX(Source!$A$2:$S$86,Source!$AA93,COLUMNS(Source!$X$2:AE93)),"")</f>
        <v/>
      </c>
      <c r="I108" s="8" t="str">
        <f>IFERROR(INDEX(Source!$A$2:$S$86,Source!$AA93,COLUMNS(Source!$X$2:AF93)),"")</f>
        <v/>
      </c>
      <c r="J108" s="8" t="str">
        <f>IFERROR(INDEX(Source!$A$2:$S$86,Source!$AA93,COLUMNS(Source!$X$2:AG93)),"")</f>
        <v/>
      </c>
      <c r="K108" s="8" t="str">
        <f>IFERROR(INDEX(Source!$A$2:$S$86,Source!$AA93,COLUMNS(Source!$X$2:AH93)),"")</f>
        <v/>
      </c>
      <c r="L108" s="8" t="str">
        <f>IFERROR(INDEX(Source!$A$2:$S$86,Source!$AA93,COLUMNS(Source!$X$2:AI93)),"")</f>
        <v/>
      </c>
      <c r="M108" s="8" t="str">
        <f>IFERROR(INDEX(Source!$A$2:$S$86,Source!$AA93,COLUMNS(Source!$X$2:AJ93)),"")</f>
        <v/>
      </c>
      <c r="N108" s="8" t="str">
        <f>IFERROR(INDEX(Source!$A$2:$S$86,Source!$AA93,COLUMNS(Source!$X$2:AK93)),"")</f>
        <v/>
      </c>
      <c r="O108" s="8" t="str">
        <f>IFERROR(INDEX(Source!$A$2:$S$86,Source!$AA93,COLUMNS(Source!$X$2:AL93)),"")</f>
        <v/>
      </c>
      <c r="P108" s="8" t="str">
        <f>IFERROR(INDEX(Source!$A$2:$S$86,Source!$AA93,COLUMNS(Source!$X$2:AM93)),"")</f>
        <v/>
      </c>
      <c r="Q108" s="8" t="str">
        <f>IFERROR(INDEX(Source!$A$2:$S$86,Source!$AA93,COLUMNS(Source!$X$2:AN93)),"")</f>
        <v/>
      </c>
      <c r="R108" s="8" t="str">
        <f>IFERROR(INDEX(Source!$A$2:$S$86,Source!$AA93,COLUMNS(Source!$X$2:AO93)),"")</f>
        <v/>
      </c>
      <c r="S108" s="8" t="str">
        <f>IFERROR(INDEX(Source!$A$2:$S$86,Source!$AA93,COLUMNS(Source!$X$2:AP93)),"")</f>
        <v/>
      </c>
    </row>
    <row r="109" spans="1:19" x14ac:dyDescent="0.25">
      <c r="A109" s="8" t="str">
        <f>IFERROR(INDEX(Source!$A$2:$S$86,Source!$AA94,COLUMNS(Source!$X$2:X94)),"")</f>
        <v/>
      </c>
      <c r="B109" s="8" t="str">
        <f>IFERROR(INDEX(Source!$A$2:$S$86,Source!$AA94,COLUMNS(Source!$X$2:Y94)),"")</f>
        <v/>
      </c>
      <c r="C109" s="8" t="str">
        <f>IFERROR(INDEX(Source!$A$2:$S$86,Source!$AA94,COLUMNS(Source!$X$2:Z94)),"")</f>
        <v/>
      </c>
      <c r="D109" s="8" t="str">
        <f>IFERROR(INDEX(Source!$A$2:$S$86,Source!$AA94,COLUMNS(Source!$X$2:AA94)),"")</f>
        <v/>
      </c>
      <c r="E109" s="8" t="str">
        <f>IFERROR(INDEX(Source!$A$2:$S$86,Source!$AA94,COLUMNS(Source!$X$2:AB94)),"")</f>
        <v/>
      </c>
      <c r="F109" s="8" t="str">
        <f>IFERROR(INDEX(Source!$A$2:$S$86,Source!$AA94,COLUMNS(Source!$X$2:AC94)),"")</f>
        <v/>
      </c>
      <c r="G109" s="8" t="str">
        <f>IFERROR(INDEX(Source!$A$2:$S$86,Source!$AA94,COLUMNS(Source!$X$2:AD94)),"")</f>
        <v/>
      </c>
      <c r="H109" s="8" t="str">
        <f>IFERROR(INDEX(Source!$A$2:$S$86,Source!$AA94,COLUMNS(Source!$X$2:AE94)),"")</f>
        <v/>
      </c>
      <c r="I109" s="8" t="str">
        <f>IFERROR(INDEX(Source!$A$2:$S$86,Source!$AA94,COLUMNS(Source!$X$2:AF94)),"")</f>
        <v/>
      </c>
      <c r="J109" s="8" t="str">
        <f>IFERROR(INDEX(Source!$A$2:$S$86,Source!$AA94,COLUMNS(Source!$X$2:AG94)),"")</f>
        <v/>
      </c>
      <c r="K109" s="8" t="str">
        <f>IFERROR(INDEX(Source!$A$2:$S$86,Source!$AA94,COLUMNS(Source!$X$2:AH94)),"")</f>
        <v/>
      </c>
      <c r="L109" s="8" t="str">
        <f>IFERROR(INDEX(Source!$A$2:$S$86,Source!$AA94,COLUMNS(Source!$X$2:AI94)),"")</f>
        <v/>
      </c>
      <c r="M109" s="8" t="str">
        <f>IFERROR(INDEX(Source!$A$2:$S$86,Source!$AA94,COLUMNS(Source!$X$2:AJ94)),"")</f>
        <v/>
      </c>
      <c r="N109" s="8" t="str">
        <f>IFERROR(INDEX(Source!$A$2:$S$86,Source!$AA94,COLUMNS(Source!$X$2:AK94)),"")</f>
        <v/>
      </c>
      <c r="O109" s="8" t="str">
        <f>IFERROR(INDEX(Source!$A$2:$S$86,Source!$AA94,COLUMNS(Source!$X$2:AL94)),"")</f>
        <v/>
      </c>
      <c r="P109" s="8" t="str">
        <f>IFERROR(INDEX(Source!$A$2:$S$86,Source!$AA94,COLUMNS(Source!$X$2:AM94)),"")</f>
        <v/>
      </c>
      <c r="Q109" s="8" t="str">
        <f>IFERROR(INDEX(Source!$A$2:$S$86,Source!$AA94,COLUMNS(Source!$X$2:AN94)),"")</f>
        <v/>
      </c>
      <c r="R109" s="8" t="str">
        <f>IFERROR(INDEX(Source!$A$2:$S$86,Source!$AA94,COLUMNS(Source!$X$2:AO94)),"")</f>
        <v/>
      </c>
      <c r="S109" s="8" t="str">
        <f>IFERROR(INDEX(Source!$A$2:$S$86,Source!$AA94,COLUMNS(Source!$X$2:AP94)),"")</f>
        <v/>
      </c>
    </row>
    <row r="110" spans="1:19" x14ac:dyDescent="0.25">
      <c r="A110" s="8" t="str">
        <f>IFERROR(INDEX(Source!$A$2:$S$86,Source!$AA95,COLUMNS(Source!$X$2:X95)),"")</f>
        <v/>
      </c>
      <c r="B110" s="8" t="str">
        <f>IFERROR(INDEX(Source!$A$2:$S$86,Source!$AA95,COLUMNS(Source!$X$2:Y95)),"")</f>
        <v/>
      </c>
      <c r="C110" s="8" t="str">
        <f>IFERROR(INDEX(Source!$A$2:$S$86,Source!$AA95,COLUMNS(Source!$X$2:Z95)),"")</f>
        <v/>
      </c>
      <c r="D110" s="8" t="str">
        <f>IFERROR(INDEX(Source!$A$2:$S$86,Source!$AA95,COLUMNS(Source!$X$2:AA95)),"")</f>
        <v/>
      </c>
      <c r="E110" s="8" t="str">
        <f>IFERROR(INDEX(Source!$A$2:$S$86,Source!$AA95,COLUMNS(Source!$X$2:AB95)),"")</f>
        <v/>
      </c>
      <c r="F110" s="8" t="str">
        <f>IFERROR(INDEX(Source!$A$2:$S$86,Source!$AA95,COLUMNS(Source!$X$2:AC95)),"")</f>
        <v/>
      </c>
      <c r="G110" s="8" t="str">
        <f>IFERROR(INDEX(Source!$A$2:$S$86,Source!$AA95,COLUMNS(Source!$X$2:AD95)),"")</f>
        <v/>
      </c>
      <c r="H110" s="8" t="str">
        <f>IFERROR(INDEX(Source!$A$2:$S$86,Source!$AA95,COLUMNS(Source!$X$2:AE95)),"")</f>
        <v/>
      </c>
      <c r="I110" s="8" t="str">
        <f>IFERROR(INDEX(Source!$A$2:$S$86,Source!$AA95,COLUMNS(Source!$X$2:AF95)),"")</f>
        <v/>
      </c>
      <c r="J110" s="8" t="str">
        <f>IFERROR(INDEX(Source!$A$2:$S$86,Source!$AA95,COLUMNS(Source!$X$2:AG95)),"")</f>
        <v/>
      </c>
      <c r="K110" s="8" t="str">
        <f>IFERROR(INDEX(Source!$A$2:$S$86,Source!$AA95,COLUMNS(Source!$X$2:AH95)),"")</f>
        <v/>
      </c>
      <c r="L110" s="8" t="str">
        <f>IFERROR(INDEX(Source!$A$2:$S$86,Source!$AA95,COLUMNS(Source!$X$2:AI95)),"")</f>
        <v/>
      </c>
      <c r="M110" s="8" t="str">
        <f>IFERROR(INDEX(Source!$A$2:$S$86,Source!$AA95,COLUMNS(Source!$X$2:AJ95)),"")</f>
        <v/>
      </c>
      <c r="N110" s="8" t="str">
        <f>IFERROR(INDEX(Source!$A$2:$S$86,Source!$AA95,COLUMNS(Source!$X$2:AK95)),"")</f>
        <v/>
      </c>
      <c r="O110" s="8" t="str">
        <f>IFERROR(INDEX(Source!$A$2:$S$86,Source!$AA95,COLUMNS(Source!$X$2:AL95)),"")</f>
        <v/>
      </c>
      <c r="P110" s="8" t="str">
        <f>IFERROR(INDEX(Source!$A$2:$S$86,Source!$AA95,COLUMNS(Source!$X$2:AM95)),"")</f>
        <v/>
      </c>
      <c r="Q110" s="8" t="str">
        <f>IFERROR(INDEX(Source!$A$2:$S$86,Source!$AA95,COLUMNS(Source!$X$2:AN95)),"")</f>
        <v/>
      </c>
      <c r="R110" s="8" t="str">
        <f>IFERROR(INDEX(Source!$A$2:$S$86,Source!$AA95,COLUMNS(Source!$X$2:AO95)),"")</f>
        <v/>
      </c>
      <c r="S110" s="8" t="str">
        <f>IFERROR(INDEX(Source!$A$2:$S$86,Source!$AA95,COLUMNS(Source!$X$2:AP95)),"")</f>
        <v/>
      </c>
    </row>
    <row r="111" spans="1:19" x14ac:dyDescent="0.25">
      <c r="A111" s="8" t="str">
        <f>IFERROR(INDEX(Source!$A$2:$S$86,Source!$AA96,COLUMNS(Source!$X$2:X96)),"")</f>
        <v/>
      </c>
      <c r="B111" s="8" t="str">
        <f>IFERROR(INDEX(Source!$A$2:$S$86,Source!$AA96,COLUMNS(Source!$X$2:Y96)),"")</f>
        <v/>
      </c>
      <c r="C111" s="8" t="str">
        <f>IFERROR(INDEX(Source!$A$2:$S$86,Source!$AA96,COLUMNS(Source!$X$2:Z96)),"")</f>
        <v/>
      </c>
      <c r="D111" s="8" t="str">
        <f>IFERROR(INDEX(Source!$A$2:$S$86,Source!$AA96,COLUMNS(Source!$X$2:AA96)),"")</f>
        <v/>
      </c>
      <c r="E111" s="8" t="str">
        <f>IFERROR(INDEX(Source!$A$2:$S$86,Source!$AA96,COLUMNS(Source!$X$2:AB96)),"")</f>
        <v/>
      </c>
      <c r="F111" s="8" t="str">
        <f>IFERROR(INDEX(Source!$A$2:$S$86,Source!$AA96,COLUMNS(Source!$X$2:AC96)),"")</f>
        <v/>
      </c>
      <c r="G111" s="8" t="str">
        <f>IFERROR(INDEX(Source!$A$2:$S$86,Source!$AA96,COLUMNS(Source!$X$2:AD96)),"")</f>
        <v/>
      </c>
      <c r="H111" s="8" t="str">
        <f>IFERROR(INDEX(Source!$A$2:$S$86,Source!$AA96,COLUMNS(Source!$X$2:AE96)),"")</f>
        <v/>
      </c>
      <c r="I111" s="8" t="str">
        <f>IFERROR(INDEX(Source!$A$2:$S$86,Source!$AA96,COLUMNS(Source!$X$2:AF96)),"")</f>
        <v/>
      </c>
      <c r="J111" s="8" t="str">
        <f>IFERROR(INDEX(Source!$A$2:$S$86,Source!$AA96,COLUMNS(Source!$X$2:AG96)),"")</f>
        <v/>
      </c>
      <c r="K111" s="8" t="str">
        <f>IFERROR(INDEX(Source!$A$2:$S$86,Source!$AA96,COLUMNS(Source!$X$2:AH96)),"")</f>
        <v/>
      </c>
      <c r="L111" s="8" t="str">
        <f>IFERROR(INDEX(Source!$A$2:$S$86,Source!$AA96,COLUMNS(Source!$X$2:AI96)),"")</f>
        <v/>
      </c>
      <c r="M111" s="8" t="str">
        <f>IFERROR(INDEX(Source!$A$2:$S$86,Source!$AA96,COLUMNS(Source!$X$2:AJ96)),"")</f>
        <v/>
      </c>
      <c r="N111" s="8" t="str">
        <f>IFERROR(INDEX(Source!$A$2:$S$86,Source!$AA96,COLUMNS(Source!$X$2:AK96)),"")</f>
        <v/>
      </c>
      <c r="O111" s="8" t="str">
        <f>IFERROR(INDEX(Source!$A$2:$S$86,Source!$AA96,COLUMNS(Source!$X$2:AL96)),"")</f>
        <v/>
      </c>
      <c r="P111" s="8" t="str">
        <f>IFERROR(INDEX(Source!$A$2:$S$86,Source!$AA96,COLUMNS(Source!$X$2:AM96)),"")</f>
        <v/>
      </c>
      <c r="Q111" s="8" t="str">
        <f>IFERROR(INDEX(Source!$A$2:$S$86,Source!$AA96,COLUMNS(Source!$X$2:AN96)),"")</f>
        <v/>
      </c>
      <c r="R111" s="8" t="str">
        <f>IFERROR(INDEX(Source!$A$2:$S$86,Source!$AA96,COLUMNS(Source!$X$2:AO96)),"")</f>
        <v/>
      </c>
      <c r="S111" s="8" t="str">
        <f>IFERROR(INDEX(Source!$A$2:$S$86,Source!$AA96,COLUMNS(Source!$X$2:AP96)),"")</f>
        <v/>
      </c>
    </row>
    <row r="112" spans="1:19" x14ac:dyDescent="0.25">
      <c r="A112" s="8" t="str">
        <f>IFERROR(INDEX(Source!$A$2:$S$86,Source!$AA97,COLUMNS(Source!$X$2:X97)),"")</f>
        <v/>
      </c>
      <c r="B112" s="8" t="str">
        <f>IFERROR(INDEX(Source!$A$2:$S$86,Source!$AA97,COLUMNS(Source!$X$2:Y97)),"")</f>
        <v/>
      </c>
      <c r="C112" s="8" t="str">
        <f>IFERROR(INDEX(Source!$A$2:$S$86,Source!$AA97,COLUMNS(Source!$X$2:Z97)),"")</f>
        <v/>
      </c>
      <c r="D112" s="8" t="str">
        <f>IFERROR(INDEX(Source!$A$2:$S$86,Source!$AA97,COLUMNS(Source!$X$2:AA97)),"")</f>
        <v/>
      </c>
      <c r="E112" s="8" t="str">
        <f>IFERROR(INDEX(Source!$A$2:$S$86,Source!$AA97,COLUMNS(Source!$X$2:AB97)),"")</f>
        <v/>
      </c>
      <c r="F112" s="8" t="str">
        <f>IFERROR(INDEX(Source!$A$2:$S$86,Source!$AA97,COLUMNS(Source!$X$2:AC97)),"")</f>
        <v/>
      </c>
      <c r="G112" s="8" t="str">
        <f>IFERROR(INDEX(Source!$A$2:$S$86,Source!$AA97,COLUMNS(Source!$X$2:AD97)),"")</f>
        <v/>
      </c>
      <c r="H112" s="8" t="str">
        <f>IFERROR(INDEX(Source!$A$2:$S$86,Source!$AA97,COLUMNS(Source!$X$2:AE97)),"")</f>
        <v/>
      </c>
      <c r="I112" s="8" t="str">
        <f>IFERROR(INDEX(Source!$A$2:$S$86,Source!$AA97,COLUMNS(Source!$X$2:AF97)),"")</f>
        <v/>
      </c>
      <c r="J112" s="8" t="str">
        <f>IFERROR(INDEX(Source!$A$2:$S$86,Source!$AA97,COLUMNS(Source!$X$2:AG97)),"")</f>
        <v/>
      </c>
      <c r="K112" s="8" t="str">
        <f>IFERROR(INDEX(Source!$A$2:$S$86,Source!$AA97,COLUMNS(Source!$X$2:AH97)),"")</f>
        <v/>
      </c>
      <c r="L112" s="8" t="str">
        <f>IFERROR(INDEX(Source!$A$2:$S$86,Source!$AA97,COLUMNS(Source!$X$2:AI97)),"")</f>
        <v/>
      </c>
      <c r="M112" s="8" t="str">
        <f>IFERROR(INDEX(Source!$A$2:$S$86,Source!$AA97,COLUMNS(Source!$X$2:AJ97)),"")</f>
        <v/>
      </c>
      <c r="N112" s="8" t="str">
        <f>IFERROR(INDEX(Source!$A$2:$S$86,Source!$AA97,COLUMNS(Source!$X$2:AK97)),"")</f>
        <v/>
      </c>
      <c r="O112" s="8" t="str">
        <f>IFERROR(INDEX(Source!$A$2:$S$86,Source!$AA97,COLUMNS(Source!$X$2:AL97)),"")</f>
        <v/>
      </c>
      <c r="P112" s="8" t="str">
        <f>IFERROR(INDEX(Source!$A$2:$S$86,Source!$AA97,COLUMNS(Source!$X$2:AM97)),"")</f>
        <v/>
      </c>
      <c r="Q112" s="8" t="str">
        <f>IFERROR(INDEX(Source!$A$2:$S$86,Source!$AA97,COLUMNS(Source!$X$2:AN97)),"")</f>
        <v/>
      </c>
      <c r="R112" s="8" t="str">
        <f>IFERROR(INDEX(Source!$A$2:$S$86,Source!$AA97,COLUMNS(Source!$X$2:AO97)),"")</f>
        <v/>
      </c>
      <c r="S112" s="8" t="str">
        <f>IFERROR(INDEX(Source!$A$2:$S$86,Source!$AA97,COLUMNS(Source!$X$2:AP97)),"")</f>
        <v/>
      </c>
    </row>
    <row r="113" spans="1:19" x14ac:dyDescent="0.25">
      <c r="A113" s="8" t="str">
        <f>IFERROR(INDEX(Source!$A$2:$S$86,Source!$AA98,COLUMNS(Source!$X$2:X98)),"")</f>
        <v/>
      </c>
      <c r="B113" s="8" t="str">
        <f>IFERROR(INDEX(Source!$A$2:$S$86,Source!$AA98,COLUMNS(Source!$X$2:Y98)),"")</f>
        <v/>
      </c>
      <c r="C113" s="8" t="str">
        <f>IFERROR(INDEX(Source!$A$2:$S$86,Source!$AA98,COLUMNS(Source!$X$2:Z98)),"")</f>
        <v/>
      </c>
      <c r="D113" s="8" t="str">
        <f>IFERROR(INDEX(Source!$A$2:$S$86,Source!$AA98,COLUMNS(Source!$X$2:AA98)),"")</f>
        <v/>
      </c>
      <c r="E113" s="8" t="str">
        <f>IFERROR(INDEX(Source!$A$2:$S$86,Source!$AA98,COLUMNS(Source!$X$2:AB98)),"")</f>
        <v/>
      </c>
      <c r="F113" s="8" t="str">
        <f>IFERROR(INDEX(Source!$A$2:$S$86,Source!$AA98,COLUMNS(Source!$X$2:AC98)),"")</f>
        <v/>
      </c>
      <c r="G113" s="8" t="str">
        <f>IFERROR(INDEX(Source!$A$2:$S$86,Source!$AA98,COLUMNS(Source!$X$2:AD98)),"")</f>
        <v/>
      </c>
      <c r="H113" s="8" t="str">
        <f>IFERROR(INDEX(Source!$A$2:$S$86,Source!$AA98,COLUMNS(Source!$X$2:AE98)),"")</f>
        <v/>
      </c>
      <c r="I113" s="8" t="str">
        <f>IFERROR(INDEX(Source!$A$2:$S$86,Source!$AA98,COLUMNS(Source!$X$2:AF98)),"")</f>
        <v/>
      </c>
      <c r="J113" s="8" t="str">
        <f>IFERROR(INDEX(Source!$A$2:$S$86,Source!$AA98,COLUMNS(Source!$X$2:AG98)),"")</f>
        <v/>
      </c>
      <c r="K113" s="8" t="str">
        <f>IFERROR(INDEX(Source!$A$2:$S$86,Source!$AA98,COLUMNS(Source!$X$2:AH98)),"")</f>
        <v/>
      </c>
      <c r="L113" s="8" t="str">
        <f>IFERROR(INDEX(Source!$A$2:$S$86,Source!$AA98,COLUMNS(Source!$X$2:AI98)),"")</f>
        <v/>
      </c>
      <c r="M113" s="8" t="str">
        <f>IFERROR(INDEX(Source!$A$2:$S$86,Source!$AA98,COLUMNS(Source!$X$2:AJ98)),"")</f>
        <v/>
      </c>
      <c r="N113" s="8" t="str">
        <f>IFERROR(INDEX(Source!$A$2:$S$86,Source!$AA98,COLUMNS(Source!$X$2:AK98)),"")</f>
        <v/>
      </c>
      <c r="O113" s="8" t="str">
        <f>IFERROR(INDEX(Source!$A$2:$S$86,Source!$AA98,COLUMNS(Source!$X$2:AL98)),"")</f>
        <v/>
      </c>
      <c r="P113" s="8" t="str">
        <f>IFERROR(INDEX(Source!$A$2:$S$86,Source!$AA98,COLUMNS(Source!$X$2:AM98)),"")</f>
        <v/>
      </c>
      <c r="Q113" s="8" t="str">
        <f>IFERROR(INDEX(Source!$A$2:$S$86,Source!$AA98,COLUMNS(Source!$X$2:AN98)),"")</f>
        <v/>
      </c>
      <c r="R113" s="8" t="str">
        <f>IFERROR(INDEX(Source!$A$2:$S$86,Source!$AA98,COLUMNS(Source!$X$2:AO98)),"")</f>
        <v/>
      </c>
      <c r="S113" s="8" t="str">
        <f>IFERROR(INDEX(Source!$A$2:$S$86,Source!$AA98,COLUMNS(Source!$X$2:AP98)),"")</f>
        <v/>
      </c>
    </row>
    <row r="114" spans="1:19" x14ac:dyDescent="0.25">
      <c r="A114" s="8" t="str">
        <f>IFERROR(INDEX(Source!$A$2:$S$86,Source!$AA99,COLUMNS(Source!$X$2:X99)),"")</f>
        <v/>
      </c>
      <c r="B114" s="8" t="str">
        <f>IFERROR(INDEX(Source!$A$2:$S$86,Source!$AA99,COLUMNS(Source!$X$2:Y99)),"")</f>
        <v/>
      </c>
      <c r="C114" s="8" t="str">
        <f>IFERROR(INDEX(Source!$A$2:$S$86,Source!$AA99,COLUMNS(Source!$X$2:Z99)),"")</f>
        <v/>
      </c>
      <c r="D114" s="8" t="str">
        <f>IFERROR(INDEX(Source!$A$2:$S$86,Source!$AA99,COLUMNS(Source!$X$2:AA99)),"")</f>
        <v/>
      </c>
      <c r="E114" s="8" t="str">
        <f>IFERROR(INDEX(Source!$A$2:$S$86,Source!$AA99,COLUMNS(Source!$X$2:AB99)),"")</f>
        <v/>
      </c>
      <c r="F114" s="8" t="str">
        <f>IFERROR(INDEX(Source!$A$2:$S$86,Source!$AA99,COLUMNS(Source!$X$2:AC99)),"")</f>
        <v/>
      </c>
      <c r="G114" s="8" t="str">
        <f>IFERROR(INDEX(Source!$A$2:$S$86,Source!$AA99,COLUMNS(Source!$X$2:AD99)),"")</f>
        <v/>
      </c>
      <c r="H114" s="8" t="str">
        <f>IFERROR(INDEX(Source!$A$2:$S$86,Source!$AA99,COLUMNS(Source!$X$2:AE99)),"")</f>
        <v/>
      </c>
      <c r="I114" s="8" t="str">
        <f>IFERROR(INDEX(Source!$A$2:$S$86,Source!$AA99,COLUMNS(Source!$X$2:AF99)),"")</f>
        <v/>
      </c>
      <c r="J114" s="8" t="str">
        <f>IFERROR(INDEX(Source!$A$2:$S$86,Source!$AA99,COLUMNS(Source!$X$2:AG99)),"")</f>
        <v/>
      </c>
      <c r="K114" s="8" t="str">
        <f>IFERROR(INDEX(Source!$A$2:$S$86,Source!$AA99,COLUMNS(Source!$X$2:AH99)),"")</f>
        <v/>
      </c>
      <c r="L114" s="8" t="str">
        <f>IFERROR(INDEX(Source!$A$2:$S$86,Source!$AA99,COLUMNS(Source!$X$2:AI99)),"")</f>
        <v/>
      </c>
      <c r="M114" s="8" t="str">
        <f>IFERROR(INDEX(Source!$A$2:$S$86,Source!$AA99,COLUMNS(Source!$X$2:AJ99)),"")</f>
        <v/>
      </c>
      <c r="N114" s="8" t="str">
        <f>IFERROR(INDEX(Source!$A$2:$S$86,Source!$AA99,COLUMNS(Source!$X$2:AK99)),"")</f>
        <v/>
      </c>
      <c r="O114" s="8" t="str">
        <f>IFERROR(INDEX(Source!$A$2:$S$86,Source!$AA99,COLUMNS(Source!$X$2:AL99)),"")</f>
        <v/>
      </c>
      <c r="P114" s="8" t="str">
        <f>IFERROR(INDEX(Source!$A$2:$S$86,Source!$AA99,COLUMNS(Source!$X$2:AM99)),"")</f>
        <v/>
      </c>
      <c r="Q114" s="8" t="str">
        <f>IFERROR(INDEX(Source!$A$2:$S$86,Source!$AA99,COLUMNS(Source!$X$2:AN99)),"")</f>
        <v/>
      </c>
      <c r="R114" s="8" t="str">
        <f>IFERROR(INDEX(Source!$A$2:$S$86,Source!$AA99,COLUMNS(Source!$X$2:AO99)),"")</f>
        <v/>
      </c>
      <c r="S114" s="8" t="str">
        <f>IFERROR(INDEX(Source!$A$2:$S$86,Source!$AA99,COLUMNS(Source!$X$2:AP99)),"")</f>
        <v/>
      </c>
    </row>
    <row r="115" spans="1:19" x14ac:dyDescent="0.25">
      <c r="A115" s="8" t="str">
        <f>IFERROR(INDEX(Source!$A$2:$S$86,Source!$AA100,COLUMNS(Source!$X$2:X100)),"")</f>
        <v/>
      </c>
      <c r="B115" s="8" t="str">
        <f>IFERROR(INDEX(Source!$A$2:$S$86,Source!$AA100,COLUMNS(Source!$X$2:Y100)),"")</f>
        <v/>
      </c>
      <c r="C115" s="8" t="str">
        <f>IFERROR(INDEX(Source!$A$2:$S$86,Source!$AA100,COLUMNS(Source!$X$2:Z100)),"")</f>
        <v/>
      </c>
      <c r="D115" s="8" t="str">
        <f>IFERROR(INDEX(Source!$A$2:$S$86,Source!$AA100,COLUMNS(Source!$X$2:AA100)),"")</f>
        <v/>
      </c>
      <c r="E115" s="8" t="str">
        <f>IFERROR(INDEX(Source!$A$2:$S$86,Source!$AA100,COLUMNS(Source!$X$2:AB100)),"")</f>
        <v/>
      </c>
      <c r="F115" s="8" t="str">
        <f>IFERROR(INDEX(Source!$A$2:$S$86,Source!$AA100,COLUMNS(Source!$X$2:AC100)),"")</f>
        <v/>
      </c>
      <c r="G115" s="8" t="str">
        <f>IFERROR(INDEX(Source!$A$2:$S$86,Source!$AA100,COLUMNS(Source!$X$2:AD100)),"")</f>
        <v/>
      </c>
      <c r="H115" s="8" t="str">
        <f>IFERROR(INDEX(Source!$A$2:$S$86,Source!$AA100,COLUMNS(Source!$X$2:AE100)),"")</f>
        <v/>
      </c>
      <c r="I115" s="8" t="str">
        <f>IFERROR(INDEX(Source!$A$2:$S$86,Source!$AA100,COLUMNS(Source!$X$2:AF100)),"")</f>
        <v/>
      </c>
      <c r="J115" s="8" t="str">
        <f>IFERROR(INDEX(Source!$A$2:$S$86,Source!$AA100,COLUMNS(Source!$X$2:AG100)),"")</f>
        <v/>
      </c>
      <c r="K115" s="8" t="str">
        <f>IFERROR(INDEX(Source!$A$2:$S$86,Source!$AA100,COLUMNS(Source!$X$2:AH100)),"")</f>
        <v/>
      </c>
      <c r="L115" s="8" t="str">
        <f>IFERROR(INDEX(Source!$A$2:$S$86,Source!$AA100,COLUMNS(Source!$X$2:AI100)),"")</f>
        <v/>
      </c>
      <c r="M115" s="8" t="str">
        <f>IFERROR(INDEX(Source!$A$2:$S$86,Source!$AA100,COLUMNS(Source!$X$2:AJ100)),"")</f>
        <v/>
      </c>
      <c r="N115" s="8" t="str">
        <f>IFERROR(INDEX(Source!$A$2:$S$86,Source!$AA100,COLUMNS(Source!$X$2:AK100)),"")</f>
        <v/>
      </c>
      <c r="O115" s="8" t="str">
        <f>IFERROR(INDEX(Source!$A$2:$S$86,Source!$AA100,COLUMNS(Source!$X$2:AL100)),"")</f>
        <v/>
      </c>
      <c r="P115" s="8" t="str">
        <f>IFERROR(INDEX(Source!$A$2:$S$86,Source!$AA100,COLUMNS(Source!$X$2:AM100)),"")</f>
        <v/>
      </c>
      <c r="Q115" s="8" t="str">
        <f>IFERROR(INDEX(Source!$A$2:$S$86,Source!$AA100,COLUMNS(Source!$X$2:AN100)),"")</f>
        <v/>
      </c>
      <c r="R115" s="8" t="str">
        <f>IFERROR(INDEX(Source!$A$2:$S$86,Source!$AA100,COLUMNS(Source!$X$2:AO100)),"")</f>
        <v/>
      </c>
      <c r="S115" s="8" t="str">
        <f>IFERROR(INDEX(Source!$A$2:$S$86,Source!$AA100,COLUMNS(Source!$X$2:AP100)),"")</f>
        <v/>
      </c>
    </row>
    <row r="116" spans="1:19" x14ac:dyDescent="0.25">
      <c r="A116" s="8" t="str">
        <f>IFERROR(INDEX(Source!$A$2:$S$86,Source!$AA101,COLUMNS(Source!$X$2:X101)),"")</f>
        <v/>
      </c>
      <c r="B116" s="8" t="str">
        <f>IFERROR(INDEX(Source!$A$2:$S$86,Source!$AA101,COLUMNS(Source!$X$2:Y101)),"")</f>
        <v/>
      </c>
      <c r="C116" s="8" t="str">
        <f>IFERROR(INDEX(Source!$A$2:$S$86,Source!$AA101,COLUMNS(Source!$X$2:Z101)),"")</f>
        <v/>
      </c>
      <c r="D116" s="8" t="str">
        <f>IFERROR(INDEX(Source!$A$2:$S$86,Source!$AA101,COLUMNS(Source!$X$2:AA101)),"")</f>
        <v/>
      </c>
      <c r="E116" s="8" t="str">
        <f>IFERROR(INDEX(Source!$A$2:$S$86,Source!$AA101,COLUMNS(Source!$X$2:AB101)),"")</f>
        <v/>
      </c>
      <c r="F116" s="8" t="str">
        <f>IFERROR(INDEX(Source!$A$2:$S$86,Source!$AA101,COLUMNS(Source!$X$2:AC101)),"")</f>
        <v/>
      </c>
      <c r="G116" s="8" t="str">
        <f>IFERROR(INDEX(Source!$A$2:$S$86,Source!$AA101,COLUMNS(Source!$X$2:AD101)),"")</f>
        <v/>
      </c>
      <c r="H116" s="8" t="str">
        <f>IFERROR(INDEX(Source!$A$2:$S$86,Source!$AA101,COLUMNS(Source!$X$2:AE101)),"")</f>
        <v/>
      </c>
      <c r="I116" s="8" t="str">
        <f>IFERROR(INDEX(Source!$A$2:$S$86,Source!$AA101,COLUMNS(Source!$X$2:AF101)),"")</f>
        <v/>
      </c>
      <c r="J116" s="8" t="str">
        <f>IFERROR(INDEX(Source!$A$2:$S$86,Source!$AA101,COLUMNS(Source!$X$2:AG101)),"")</f>
        <v/>
      </c>
      <c r="K116" s="8" t="str">
        <f>IFERROR(INDEX(Source!$A$2:$S$86,Source!$AA101,COLUMNS(Source!$X$2:AH101)),"")</f>
        <v/>
      </c>
      <c r="L116" s="8" t="str">
        <f>IFERROR(INDEX(Source!$A$2:$S$86,Source!$AA101,COLUMNS(Source!$X$2:AI101)),"")</f>
        <v/>
      </c>
      <c r="M116" s="8" t="str">
        <f>IFERROR(INDEX(Source!$A$2:$S$86,Source!$AA101,COLUMNS(Source!$X$2:AJ101)),"")</f>
        <v/>
      </c>
      <c r="N116" s="8" t="str">
        <f>IFERROR(INDEX(Source!$A$2:$S$86,Source!$AA101,COLUMNS(Source!$X$2:AK101)),"")</f>
        <v/>
      </c>
      <c r="O116" s="8" t="str">
        <f>IFERROR(INDEX(Source!$A$2:$S$86,Source!$AA101,COLUMNS(Source!$X$2:AL101)),"")</f>
        <v/>
      </c>
      <c r="P116" s="8" t="str">
        <f>IFERROR(INDEX(Source!$A$2:$S$86,Source!$AA101,COLUMNS(Source!$X$2:AM101)),"")</f>
        <v/>
      </c>
      <c r="Q116" s="8" t="str">
        <f>IFERROR(INDEX(Source!$A$2:$S$86,Source!$AA101,COLUMNS(Source!$X$2:AN101)),"")</f>
        <v/>
      </c>
      <c r="R116" s="8" t="str">
        <f>IFERROR(INDEX(Source!$A$2:$S$86,Source!$AA101,COLUMNS(Source!$X$2:AO101)),"")</f>
        <v/>
      </c>
      <c r="S116" s="8" t="str">
        <f>IFERROR(INDEX(Source!$A$2:$S$86,Source!$AA101,COLUMNS(Source!$X$2:AP101)),"")</f>
        <v/>
      </c>
    </row>
    <row r="117" spans="1:19" x14ac:dyDescent="0.25">
      <c r="A117" s="8" t="str">
        <f>IFERROR(INDEX(Source!$A$2:$S$86,Source!$AA102,COLUMNS(Source!$X$2:X102)),"")</f>
        <v/>
      </c>
      <c r="B117" s="8" t="str">
        <f>IFERROR(INDEX(Source!$A$2:$S$86,Source!$AA102,COLUMNS(Source!$X$2:Y102)),"")</f>
        <v/>
      </c>
      <c r="C117" s="8" t="str">
        <f>IFERROR(INDEX(Source!$A$2:$S$86,Source!$AA102,COLUMNS(Source!$X$2:Z102)),"")</f>
        <v/>
      </c>
      <c r="D117" s="8" t="str">
        <f>IFERROR(INDEX(Source!$A$2:$S$86,Source!$AA102,COLUMNS(Source!$X$2:AA102)),"")</f>
        <v/>
      </c>
      <c r="E117" s="8" t="str">
        <f>IFERROR(INDEX(Source!$A$2:$S$86,Source!$AA102,COLUMNS(Source!$X$2:AB102)),"")</f>
        <v/>
      </c>
      <c r="F117" s="8" t="str">
        <f>IFERROR(INDEX(Source!$A$2:$S$86,Source!$AA102,COLUMNS(Source!$X$2:AC102)),"")</f>
        <v/>
      </c>
      <c r="G117" s="8" t="str">
        <f>IFERROR(INDEX(Source!$A$2:$S$86,Source!$AA102,COLUMNS(Source!$X$2:AD102)),"")</f>
        <v/>
      </c>
      <c r="H117" s="8" t="str">
        <f>IFERROR(INDEX(Source!$A$2:$S$86,Source!$AA102,COLUMNS(Source!$X$2:AE102)),"")</f>
        <v/>
      </c>
      <c r="I117" s="8" t="str">
        <f>IFERROR(INDEX(Source!$A$2:$S$86,Source!$AA102,COLUMNS(Source!$X$2:AF102)),"")</f>
        <v/>
      </c>
      <c r="J117" s="8" t="str">
        <f>IFERROR(INDEX(Source!$A$2:$S$86,Source!$AA102,COLUMNS(Source!$X$2:AG102)),"")</f>
        <v/>
      </c>
      <c r="K117" s="8" t="str">
        <f>IFERROR(INDEX(Source!$A$2:$S$86,Source!$AA102,COLUMNS(Source!$X$2:AH102)),"")</f>
        <v/>
      </c>
      <c r="L117" s="8" t="str">
        <f>IFERROR(INDEX(Source!$A$2:$S$86,Source!$AA102,COLUMNS(Source!$X$2:AI102)),"")</f>
        <v/>
      </c>
      <c r="M117" s="8" t="str">
        <f>IFERROR(INDEX(Source!$A$2:$S$86,Source!$AA102,COLUMNS(Source!$X$2:AJ102)),"")</f>
        <v/>
      </c>
      <c r="N117" s="8" t="str">
        <f>IFERROR(INDEX(Source!$A$2:$S$86,Source!$AA102,COLUMNS(Source!$X$2:AK102)),"")</f>
        <v/>
      </c>
      <c r="O117" s="8" t="str">
        <f>IFERROR(INDEX(Source!$A$2:$S$86,Source!$AA102,COLUMNS(Source!$X$2:AL102)),"")</f>
        <v/>
      </c>
      <c r="P117" s="8" t="str">
        <f>IFERROR(INDEX(Source!$A$2:$S$86,Source!$AA102,COLUMNS(Source!$X$2:AM102)),"")</f>
        <v/>
      </c>
      <c r="Q117" s="8" t="str">
        <f>IFERROR(INDEX(Source!$A$2:$S$86,Source!$AA102,COLUMNS(Source!$X$2:AN102)),"")</f>
        <v/>
      </c>
      <c r="R117" s="8" t="str">
        <f>IFERROR(INDEX(Source!$A$2:$S$86,Source!$AA102,COLUMNS(Source!$X$2:AO102)),"")</f>
        <v/>
      </c>
      <c r="S117" s="8" t="str">
        <f>IFERROR(INDEX(Source!$A$2:$S$86,Source!$AA102,COLUMNS(Source!$X$2:AP102)),"")</f>
        <v/>
      </c>
    </row>
    <row r="118" spans="1:19" x14ac:dyDescent="0.25">
      <c r="A118" s="8" t="str">
        <f>IFERROR(INDEX(Source!$A$2:$S$86,Source!$AA103,COLUMNS(Source!$X$2:X103)),"")</f>
        <v/>
      </c>
      <c r="B118" s="8" t="str">
        <f>IFERROR(INDEX(Source!$A$2:$S$86,Source!$AA103,COLUMNS(Source!$X$2:Y103)),"")</f>
        <v/>
      </c>
      <c r="C118" s="8" t="str">
        <f>IFERROR(INDEX(Source!$A$2:$S$86,Source!$AA103,COLUMNS(Source!$X$2:Z103)),"")</f>
        <v/>
      </c>
      <c r="D118" s="8" t="str">
        <f>IFERROR(INDEX(Source!$A$2:$S$86,Source!$AA103,COLUMNS(Source!$X$2:AA103)),"")</f>
        <v/>
      </c>
      <c r="E118" s="8" t="str">
        <f>IFERROR(INDEX(Source!$A$2:$S$86,Source!$AA103,COLUMNS(Source!$X$2:AB103)),"")</f>
        <v/>
      </c>
      <c r="F118" s="8" t="str">
        <f>IFERROR(INDEX(Source!$A$2:$S$86,Source!$AA103,COLUMNS(Source!$X$2:AC103)),"")</f>
        <v/>
      </c>
      <c r="G118" s="8" t="str">
        <f>IFERROR(INDEX(Source!$A$2:$S$86,Source!$AA103,COLUMNS(Source!$X$2:AD103)),"")</f>
        <v/>
      </c>
      <c r="H118" s="8" t="str">
        <f>IFERROR(INDEX(Source!$A$2:$S$86,Source!$AA103,COLUMNS(Source!$X$2:AE103)),"")</f>
        <v/>
      </c>
      <c r="I118" s="8" t="str">
        <f>IFERROR(INDEX(Source!$A$2:$S$86,Source!$AA103,COLUMNS(Source!$X$2:AF103)),"")</f>
        <v/>
      </c>
      <c r="J118" s="8" t="str">
        <f>IFERROR(INDEX(Source!$A$2:$S$86,Source!$AA103,COLUMNS(Source!$X$2:AG103)),"")</f>
        <v/>
      </c>
      <c r="K118" s="8" t="str">
        <f>IFERROR(INDEX(Source!$A$2:$S$86,Source!$AA103,COLUMNS(Source!$X$2:AH103)),"")</f>
        <v/>
      </c>
      <c r="L118" s="8" t="str">
        <f>IFERROR(INDEX(Source!$A$2:$S$86,Source!$AA103,COLUMNS(Source!$X$2:AI103)),"")</f>
        <v/>
      </c>
      <c r="M118" s="8" t="str">
        <f>IFERROR(INDEX(Source!$A$2:$S$86,Source!$AA103,COLUMNS(Source!$X$2:AJ103)),"")</f>
        <v/>
      </c>
      <c r="N118" s="8" t="str">
        <f>IFERROR(INDEX(Source!$A$2:$S$86,Source!$AA103,COLUMNS(Source!$X$2:AK103)),"")</f>
        <v/>
      </c>
      <c r="O118" s="8" t="str">
        <f>IFERROR(INDEX(Source!$A$2:$S$86,Source!$AA103,COLUMNS(Source!$X$2:AL103)),"")</f>
        <v/>
      </c>
      <c r="P118" s="8" t="str">
        <f>IFERROR(INDEX(Source!$A$2:$S$86,Source!$AA103,COLUMNS(Source!$X$2:AM103)),"")</f>
        <v/>
      </c>
      <c r="Q118" s="8" t="str">
        <f>IFERROR(INDEX(Source!$A$2:$S$86,Source!$AA103,COLUMNS(Source!$X$2:AN103)),"")</f>
        <v/>
      </c>
      <c r="R118" s="8" t="str">
        <f>IFERROR(INDEX(Source!$A$2:$S$86,Source!$AA103,COLUMNS(Source!$X$2:AO103)),"")</f>
        <v/>
      </c>
      <c r="S118" s="8" t="str">
        <f>IFERROR(INDEX(Source!$A$2:$S$86,Source!$AA103,COLUMNS(Source!$X$2:AP103)),"")</f>
        <v/>
      </c>
    </row>
    <row r="119" spans="1:19" x14ac:dyDescent="0.25">
      <c r="A119" s="8" t="str">
        <f>IFERROR(INDEX(Source!$A$2:$S$86,Source!$AA104,COLUMNS(Source!$X$2:X104)),"")</f>
        <v/>
      </c>
      <c r="B119" s="8" t="str">
        <f>IFERROR(INDEX(Source!$A$2:$S$86,Source!$AA104,COLUMNS(Source!$X$2:Y104)),"")</f>
        <v/>
      </c>
      <c r="C119" s="8" t="str">
        <f>IFERROR(INDEX(Source!$A$2:$S$86,Source!$AA104,COLUMNS(Source!$X$2:Z104)),"")</f>
        <v/>
      </c>
      <c r="D119" s="8" t="str">
        <f>IFERROR(INDEX(Source!$A$2:$S$86,Source!$AA104,COLUMNS(Source!$X$2:AA104)),"")</f>
        <v/>
      </c>
      <c r="E119" s="8" t="str">
        <f>IFERROR(INDEX(Source!$A$2:$S$86,Source!$AA104,COLUMNS(Source!$X$2:AB104)),"")</f>
        <v/>
      </c>
      <c r="F119" s="8" t="str">
        <f>IFERROR(INDEX(Source!$A$2:$S$86,Source!$AA104,COLUMNS(Source!$X$2:AC104)),"")</f>
        <v/>
      </c>
      <c r="G119" s="8" t="str">
        <f>IFERROR(INDEX(Source!$A$2:$S$86,Source!$AA104,COLUMNS(Source!$X$2:AD104)),"")</f>
        <v/>
      </c>
      <c r="H119" s="8" t="str">
        <f>IFERROR(INDEX(Source!$A$2:$S$86,Source!$AA104,COLUMNS(Source!$X$2:AE104)),"")</f>
        <v/>
      </c>
      <c r="I119" s="8" t="str">
        <f>IFERROR(INDEX(Source!$A$2:$S$86,Source!$AA104,COLUMNS(Source!$X$2:AF104)),"")</f>
        <v/>
      </c>
      <c r="J119" s="8" t="str">
        <f>IFERROR(INDEX(Source!$A$2:$S$86,Source!$AA104,COLUMNS(Source!$X$2:AG104)),"")</f>
        <v/>
      </c>
      <c r="K119" s="8" t="str">
        <f>IFERROR(INDEX(Source!$A$2:$S$86,Source!$AA104,COLUMNS(Source!$X$2:AH104)),"")</f>
        <v/>
      </c>
      <c r="L119" s="8" t="str">
        <f>IFERROR(INDEX(Source!$A$2:$S$86,Source!$AA104,COLUMNS(Source!$X$2:AI104)),"")</f>
        <v/>
      </c>
      <c r="M119" s="8" t="str">
        <f>IFERROR(INDEX(Source!$A$2:$S$86,Source!$AA104,COLUMNS(Source!$X$2:AJ104)),"")</f>
        <v/>
      </c>
      <c r="N119" s="8" t="str">
        <f>IFERROR(INDEX(Source!$A$2:$S$86,Source!$AA104,COLUMNS(Source!$X$2:AK104)),"")</f>
        <v/>
      </c>
      <c r="O119" s="8" t="str">
        <f>IFERROR(INDEX(Source!$A$2:$S$86,Source!$AA104,COLUMNS(Source!$X$2:AL104)),"")</f>
        <v/>
      </c>
      <c r="P119" s="8" t="str">
        <f>IFERROR(INDEX(Source!$A$2:$S$86,Source!$AA104,COLUMNS(Source!$X$2:AM104)),"")</f>
        <v/>
      </c>
      <c r="Q119" s="8" t="str">
        <f>IFERROR(INDEX(Source!$A$2:$S$86,Source!$AA104,COLUMNS(Source!$X$2:AN104)),"")</f>
        <v/>
      </c>
      <c r="R119" s="8" t="str">
        <f>IFERROR(INDEX(Source!$A$2:$S$86,Source!$AA104,COLUMNS(Source!$X$2:AO104)),"")</f>
        <v/>
      </c>
      <c r="S119" s="8" t="str">
        <f>IFERROR(INDEX(Source!$A$2:$S$86,Source!$AA104,COLUMNS(Source!$X$2:AP104)),"")</f>
        <v/>
      </c>
    </row>
    <row r="120" spans="1:19" x14ac:dyDescent="0.25">
      <c r="A120" s="8" t="str">
        <f>IFERROR(INDEX(Source!$A$2:$S$86,Source!$AA105,COLUMNS(Source!$X$2:X105)),"")</f>
        <v/>
      </c>
      <c r="B120" s="8" t="str">
        <f>IFERROR(INDEX(Source!$A$2:$S$86,Source!$AA105,COLUMNS(Source!$X$2:Y105)),"")</f>
        <v/>
      </c>
      <c r="C120" s="8" t="str">
        <f>IFERROR(INDEX(Source!$A$2:$S$86,Source!$AA105,COLUMNS(Source!$X$2:Z105)),"")</f>
        <v/>
      </c>
      <c r="D120" s="8" t="str">
        <f>IFERROR(INDEX(Source!$A$2:$S$86,Source!$AA105,COLUMNS(Source!$X$2:AA105)),"")</f>
        <v/>
      </c>
      <c r="E120" s="8" t="str">
        <f>IFERROR(INDEX(Source!$A$2:$S$86,Source!$AA105,COLUMNS(Source!$X$2:AB105)),"")</f>
        <v/>
      </c>
      <c r="F120" s="8" t="str">
        <f>IFERROR(INDEX(Source!$A$2:$S$86,Source!$AA105,COLUMNS(Source!$X$2:AC105)),"")</f>
        <v/>
      </c>
      <c r="G120" s="8" t="str">
        <f>IFERROR(INDEX(Source!$A$2:$S$86,Source!$AA105,COLUMNS(Source!$X$2:AD105)),"")</f>
        <v/>
      </c>
      <c r="H120" s="8" t="str">
        <f>IFERROR(INDEX(Source!$A$2:$S$86,Source!$AA105,COLUMNS(Source!$X$2:AE105)),"")</f>
        <v/>
      </c>
      <c r="I120" s="8" t="str">
        <f>IFERROR(INDEX(Source!$A$2:$S$86,Source!$AA105,COLUMNS(Source!$X$2:AF105)),"")</f>
        <v/>
      </c>
      <c r="J120" s="8" t="str">
        <f>IFERROR(INDEX(Source!$A$2:$S$86,Source!$AA105,COLUMNS(Source!$X$2:AG105)),"")</f>
        <v/>
      </c>
      <c r="K120" s="8" t="str">
        <f>IFERROR(INDEX(Source!$A$2:$S$86,Source!$AA105,COLUMNS(Source!$X$2:AH105)),"")</f>
        <v/>
      </c>
      <c r="L120" s="8" t="str">
        <f>IFERROR(INDEX(Source!$A$2:$S$86,Source!$AA105,COLUMNS(Source!$X$2:AI105)),"")</f>
        <v/>
      </c>
      <c r="M120" s="8" t="str">
        <f>IFERROR(INDEX(Source!$A$2:$S$86,Source!$AA105,COLUMNS(Source!$X$2:AJ105)),"")</f>
        <v/>
      </c>
      <c r="N120" s="8" t="str">
        <f>IFERROR(INDEX(Source!$A$2:$S$86,Source!$AA105,COLUMNS(Source!$X$2:AK105)),"")</f>
        <v/>
      </c>
      <c r="O120" s="8" t="str">
        <f>IFERROR(INDEX(Source!$A$2:$S$86,Source!$AA105,COLUMNS(Source!$X$2:AL105)),"")</f>
        <v/>
      </c>
      <c r="P120" s="8" t="str">
        <f>IFERROR(INDEX(Source!$A$2:$S$86,Source!$AA105,COLUMNS(Source!$X$2:AM105)),"")</f>
        <v/>
      </c>
      <c r="Q120" s="8" t="str">
        <f>IFERROR(INDEX(Source!$A$2:$S$86,Source!$AA105,COLUMNS(Source!$X$2:AN105)),"")</f>
        <v/>
      </c>
      <c r="R120" s="8" t="str">
        <f>IFERROR(INDEX(Source!$A$2:$S$86,Source!$AA105,COLUMNS(Source!$X$2:AO105)),"")</f>
        <v/>
      </c>
      <c r="S120" s="8" t="str">
        <f>IFERROR(INDEX(Source!$A$2:$S$86,Source!$AA105,COLUMNS(Source!$X$2:AP105)),"")</f>
        <v/>
      </c>
    </row>
    <row r="121" spans="1:19" x14ac:dyDescent="0.25">
      <c r="A121" s="8" t="str">
        <f>IFERROR(INDEX(Source!$A$2:$S$86,Source!$AA106,COLUMNS(Source!$X$2:X106)),"")</f>
        <v/>
      </c>
      <c r="B121" s="8" t="str">
        <f>IFERROR(INDEX(Source!$A$2:$S$86,Source!$AA106,COLUMNS(Source!$X$2:Y106)),"")</f>
        <v/>
      </c>
      <c r="C121" s="8" t="str">
        <f>IFERROR(INDEX(Source!$A$2:$S$86,Source!$AA106,COLUMNS(Source!$X$2:Z106)),"")</f>
        <v/>
      </c>
      <c r="D121" s="8" t="str">
        <f>IFERROR(INDEX(Source!$A$2:$S$86,Source!$AA106,COLUMNS(Source!$X$2:AA106)),"")</f>
        <v/>
      </c>
      <c r="E121" s="8" t="str">
        <f>IFERROR(INDEX(Source!$A$2:$S$86,Source!$AA106,COLUMNS(Source!$X$2:AB106)),"")</f>
        <v/>
      </c>
      <c r="F121" s="8" t="str">
        <f>IFERROR(INDEX(Source!$A$2:$S$86,Source!$AA106,COLUMNS(Source!$X$2:AC106)),"")</f>
        <v/>
      </c>
      <c r="G121" s="8" t="str">
        <f>IFERROR(INDEX(Source!$A$2:$S$86,Source!$AA106,COLUMNS(Source!$X$2:AD106)),"")</f>
        <v/>
      </c>
      <c r="H121" s="8" t="str">
        <f>IFERROR(INDEX(Source!$A$2:$S$86,Source!$AA106,COLUMNS(Source!$X$2:AE106)),"")</f>
        <v/>
      </c>
      <c r="I121" s="8" t="str">
        <f>IFERROR(INDEX(Source!$A$2:$S$86,Source!$AA106,COLUMNS(Source!$X$2:AF106)),"")</f>
        <v/>
      </c>
      <c r="J121" s="8" t="str">
        <f>IFERROR(INDEX(Source!$A$2:$S$86,Source!$AA106,COLUMNS(Source!$X$2:AG106)),"")</f>
        <v/>
      </c>
      <c r="K121" s="8" t="str">
        <f>IFERROR(INDEX(Source!$A$2:$S$86,Source!$AA106,COLUMNS(Source!$X$2:AH106)),"")</f>
        <v/>
      </c>
      <c r="L121" s="8" t="str">
        <f>IFERROR(INDEX(Source!$A$2:$S$86,Source!$AA106,COLUMNS(Source!$X$2:AI106)),"")</f>
        <v/>
      </c>
      <c r="M121" s="8" t="str">
        <f>IFERROR(INDEX(Source!$A$2:$S$86,Source!$AA106,COLUMNS(Source!$X$2:AJ106)),"")</f>
        <v/>
      </c>
      <c r="N121" s="8" t="str">
        <f>IFERROR(INDEX(Source!$A$2:$S$86,Source!$AA106,COLUMNS(Source!$X$2:AK106)),"")</f>
        <v/>
      </c>
      <c r="O121" s="8" t="str">
        <f>IFERROR(INDEX(Source!$A$2:$S$86,Source!$AA106,COLUMNS(Source!$X$2:AL106)),"")</f>
        <v/>
      </c>
      <c r="P121" s="8" t="str">
        <f>IFERROR(INDEX(Source!$A$2:$S$86,Source!$AA106,COLUMNS(Source!$X$2:AM106)),"")</f>
        <v/>
      </c>
      <c r="Q121" s="8" t="str">
        <f>IFERROR(INDEX(Source!$A$2:$S$86,Source!$AA106,COLUMNS(Source!$X$2:AN106)),"")</f>
        <v/>
      </c>
      <c r="R121" s="8" t="str">
        <f>IFERROR(INDEX(Source!$A$2:$S$86,Source!$AA106,COLUMNS(Source!$X$2:AO106)),"")</f>
        <v/>
      </c>
      <c r="S121" s="8" t="str">
        <f>IFERROR(INDEX(Source!$A$2:$S$86,Source!$AA106,COLUMNS(Source!$X$2:AP106)),"")</f>
        <v/>
      </c>
    </row>
    <row r="122" spans="1:19" x14ac:dyDescent="0.25">
      <c r="E122" s="18"/>
    </row>
    <row r="123" spans="1:19" x14ac:dyDescent="0.25">
      <c r="E123" s="18"/>
    </row>
    <row r="124" spans="1:19" x14ac:dyDescent="0.25">
      <c r="E124" s="18"/>
    </row>
    <row r="125" spans="1:19" x14ac:dyDescent="0.25">
      <c r="E125" s="18"/>
    </row>
    <row r="126" spans="1:19" x14ac:dyDescent="0.25">
      <c r="E126" s="18"/>
    </row>
    <row r="127" spans="1:19" x14ac:dyDescent="0.25">
      <c r="E127" s="18"/>
    </row>
    <row r="128" spans="1:19" x14ac:dyDescent="0.25">
      <c r="E128" s="18"/>
    </row>
    <row r="129" spans="5:5" x14ac:dyDescent="0.25">
      <c r="E129" s="18"/>
    </row>
    <row r="130" spans="5:5" x14ac:dyDescent="0.25">
      <c r="E130" s="18"/>
    </row>
    <row r="131" spans="5:5" x14ac:dyDescent="0.25">
      <c r="E131" s="18"/>
    </row>
    <row r="132" spans="5:5" x14ac:dyDescent="0.25">
      <c r="E132" s="18"/>
    </row>
    <row r="133" spans="5:5" x14ac:dyDescent="0.25">
      <c r="E133" s="18"/>
    </row>
    <row r="134" spans="5:5" x14ac:dyDescent="0.25">
      <c r="E134" s="18"/>
    </row>
    <row r="135" spans="5:5" x14ac:dyDescent="0.25">
      <c r="E135" s="18"/>
    </row>
    <row r="136" spans="5:5" x14ac:dyDescent="0.25">
      <c r="E136" s="18"/>
    </row>
    <row r="137" spans="5:5" x14ac:dyDescent="0.25">
      <c r="E137" s="18"/>
    </row>
    <row r="138" spans="5:5" x14ac:dyDescent="0.25">
      <c r="E138" s="18"/>
    </row>
    <row r="139" spans="5:5" x14ac:dyDescent="0.25">
      <c r="E139" s="18"/>
    </row>
    <row r="140" spans="5:5" x14ac:dyDescent="0.25">
      <c r="E140" s="18"/>
    </row>
    <row r="141" spans="5:5" x14ac:dyDescent="0.25">
      <c r="E141" s="18"/>
    </row>
    <row r="142" spans="5:5" x14ac:dyDescent="0.25">
      <c r="E142" s="18"/>
    </row>
    <row r="143" spans="5:5" x14ac:dyDescent="0.25">
      <c r="E143" s="18"/>
    </row>
    <row r="144" spans="5:5" x14ac:dyDescent="0.25">
      <c r="E144" s="18"/>
    </row>
    <row r="145" spans="5:5" x14ac:dyDescent="0.25">
      <c r="E145" s="18"/>
    </row>
    <row r="146" spans="5:5" x14ac:dyDescent="0.25">
      <c r="E146" s="18"/>
    </row>
    <row r="147" spans="5:5" x14ac:dyDescent="0.25">
      <c r="E147" s="18"/>
    </row>
    <row r="148" spans="5:5" x14ac:dyDescent="0.25">
      <c r="E148" s="18"/>
    </row>
    <row r="149" spans="5:5" x14ac:dyDescent="0.25">
      <c r="E149" s="18"/>
    </row>
    <row r="150" spans="5:5" x14ac:dyDescent="0.25">
      <c r="E150" s="18"/>
    </row>
    <row r="151" spans="5:5" x14ac:dyDescent="0.25">
      <c r="E151" s="18"/>
    </row>
    <row r="152" spans="5:5" x14ac:dyDescent="0.25">
      <c r="E152" s="18"/>
    </row>
    <row r="153" spans="5:5" x14ac:dyDescent="0.25">
      <c r="E153" s="18"/>
    </row>
    <row r="154" spans="5:5" x14ac:dyDescent="0.25">
      <c r="E154" s="18"/>
    </row>
    <row r="155" spans="5:5" x14ac:dyDescent="0.25">
      <c r="E155" s="18"/>
    </row>
    <row r="156" spans="5:5" x14ac:dyDescent="0.25">
      <c r="E156" s="18"/>
    </row>
    <row r="157" spans="5:5" x14ac:dyDescent="0.25">
      <c r="E157" s="18"/>
    </row>
    <row r="158" spans="5:5" x14ac:dyDescent="0.25">
      <c r="E158" s="18"/>
    </row>
    <row r="159" spans="5:5" x14ac:dyDescent="0.25">
      <c r="E159" s="18"/>
    </row>
    <row r="160" spans="5:5" x14ac:dyDescent="0.25">
      <c r="E160" s="18"/>
    </row>
    <row r="161" spans="5:5" x14ac:dyDescent="0.25">
      <c r="E161" s="18"/>
    </row>
    <row r="162" spans="5:5" x14ac:dyDescent="0.25">
      <c r="E162" s="18"/>
    </row>
    <row r="163" spans="5:5" x14ac:dyDescent="0.25">
      <c r="E163" s="18"/>
    </row>
    <row r="164" spans="5:5" x14ac:dyDescent="0.25">
      <c r="E164" s="18"/>
    </row>
    <row r="165" spans="5:5" x14ac:dyDescent="0.25">
      <c r="E165" s="18"/>
    </row>
    <row r="166" spans="5:5" x14ac:dyDescent="0.25">
      <c r="E166" s="18"/>
    </row>
    <row r="167" spans="5:5" x14ac:dyDescent="0.25">
      <c r="E167" s="18"/>
    </row>
    <row r="168" spans="5:5" x14ac:dyDescent="0.25">
      <c r="E168" s="18"/>
    </row>
    <row r="169" spans="5:5" x14ac:dyDescent="0.25">
      <c r="E169" s="18"/>
    </row>
    <row r="170" spans="5:5" x14ac:dyDescent="0.25">
      <c r="E170" s="18"/>
    </row>
    <row r="171" spans="5:5" x14ac:dyDescent="0.25">
      <c r="E171" s="18"/>
    </row>
    <row r="172" spans="5:5" x14ac:dyDescent="0.25">
      <c r="E172" s="18"/>
    </row>
    <row r="173" spans="5:5" x14ac:dyDescent="0.25">
      <c r="E173" s="18"/>
    </row>
    <row r="174" spans="5:5" x14ac:dyDescent="0.25">
      <c r="E174" s="18"/>
    </row>
    <row r="175" spans="5:5" x14ac:dyDescent="0.25">
      <c r="E175" s="18"/>
    </row>
    <row r="176" spans="5:5" x14ac:dyDescent="0.25">
      <c r="E176" s="18"/>
    </row>
    <row r="177" spans="5:5" x14ac:dyDescent="0.25">
      <c r="E177" s="18"/>
    </row>
    <row r="178" spans="5:5" x14ac:dyDescent="0.25">
      <c r="E178" s="18"/>
    </row>
    <row r="179" spans="5:5" x14ac:dyDescent="0.25">
      <c r="E179" s="18"/>
    </row>
    <row r="180" spans="5:5" x14ac:dyDescent="0.25">
      <c r="E180" s="18"/>
    </row>
    <row r="181" spans="5:5" x14ac:dyDescent="0.25">
      <c r="E181" s="18"/>
    </row>
    <row r="182" spans="5:5" x14ac:dyDescent="0.25">
      <c r="E182" s="18"/>
    </row>
    <row r="183" spans="5:5" x14ac:dyDescent="0.25">
      <c r="E183" s="18"/>
    </row>
    <row r="184" spans="5:5" x14ac:dyDescent="0.25">
      <c r="E184" s="18"/>
    </row>
    <row r="185" spans="5:5" x14ac:dyDescent="0.25">
      <c r="E185" s="18"/>
    </row>
    <row r="186" spans="5:5" x14ac:dyDescent="0.25">
      <c r="E186" s="18"/>
    </row>
    <row r="187" spans="5:5" x14ac:dyDescent="0.25">
      <c r="E187" s="18"/>
    </row>
    <row r="188" spans="5:5" x14ac:dyDescent="0.25">
      <c r="E188" s="18"/>
    </row>
    <row r="189" spans="5:5" x14ac:dyDescent="0.25">
      <c r="E189" s="18"/>
    </row>
    <row r="190" spans="5:5" x14ac:dyDescent="0.25">
      <c r="E190" s="18"/>
    </row>
    <row r="191" spans="5:5" x14ac:dyDescent="0.25">
      <c r="E191" s="18"/>
    </row>
    <row r="192" spans="5:5" x14ac:dyDescent="0.25">
      <c r="E192" s="18"/>
    </row>
    <row r="193" spans="5:5" x14ac:dyDescent="0.25">
      <c r="E193" s="18"/>
    </row>
    <row r="194" spans="5:5" x14ac:dyDescent="0.25">
      <c r="E194" s="18"/>
    </row>
    <row r="195" spans="5:5" x14ac:dyDescent="0.25">
      <c r="E195" s="18"/>
    </row>
    <row r="196" spans="5:5" x14ac:dyDescent="0.25">
      <c r="E196" s="18"/>
    </row>
    <row r="197" spans="5:5" x14ac:dyDescent="0.25">
      <c r="E197" s="18"/>
    </row>
    <row r="198" spans="5:5" x14ac:dyDescent="0.25">
      <c r="E198" s="18"/>
    </row>
    <row r="199" spans="5:5" x14ac:dyDescent="0.25">
      <c r="E199" s="18"/>
    </row>
    <row r="200" spans="5:5" x14ac:dyDescent="0.25">
      <c r="E200" s="18"/>
    </row>
    <row r="201" spans="5:5" x14ac:dyDescent="0.25">
      <c r="E201" s="18"/>
    </row>
    <row r="202" spans="5:5" x14ac:dyDescent="0.25">
      <c r="E202" s="18"/>
    </row>
    <row r="203" spans="5:5" x14ac:dyDescent="0.25">
      <c r="E203" s="18"/>
    </row>
    <row r="204" spans="5:5" x14ac:dyDescent="0.25">
      <c r="E204" s="18"/>
    </row>
    <row r="205" spans="5:5" x14ac:dyDescent="0.25">
      <c r="E205" s="18"/>
    </row>
    <row r="206" spans="5:5" x14ac:dyDescent="0.25">
      <c r="E206" s="18"/>
    </row>
    <row r="207" spans="5:5" x14ac:dyDescent="0.25">
      <c r="E207" s="18"/>
    </row>
    <row r="208" spans="5:5" x14ac:dyDescent="0.25">
      <c r="E208" s="18"/>
    </row>
    <row r="209" spans="5:5" x14ac:dyDescent="0.25">
      <c r="E209" s="18"/>
    </row>
    <row r="210" spans="5:5" x14ac:dyDescent="0.25">
      <c r="E210" s="18"/>
    </row>
    <row r="211" spans="5:5" x14ac:dyDescent="0.25">
      <c r="E211" s="18"/>
    </row>
    <row r="212" spans="5:5" x14ac:dyDescent="0.25">
      <c r="E212" s="18"/>
    </row>
    <row r="213" spans="5:5" x14ac:dyDescent="0.25">
      <c r="E213" s="18"/>
    </row>
    <row r="214" spans="5:5" x14ac:dyDescent="0.25">
      <c r="E214" s="18"/>
    </row>
    <row r="215" spans="5:5" x14ac:dyDescent="0.25">
      <c r="E215" s="18"/>
    </row>
    <row r="216" spans="5:5" x14ac:dyDescent="0.25">
      <c r="E216" s="18"/>
    </row>
    <row r="217" spans="5:5" x14ac:dyDescent="0.25">
      <c r="E217" s="18"/>
    </row>
    <row r="218" spans="5:5" x14ac:dyDescent="0.25">
      <c r="E218" s="18"/>
    </row>
    <row r="219" spans="5:5" x14ac:dyDescent="0.25">
      <c r="E219" s="18"/>
    </row>
    <row r="220" spans="5:5" x14ac:dyDescent="0.25">
      <c r="E220" s="18"/>
    </row>
    <row r="221" spans="5:5" x14ac:dyDescent="0.25">
      <c r="E221" s="18"/>
    </row>
    <row r="222" spans="5:5" x14ac:dyDescent="0.25">
      <c r="E222" s="18"/>
    </row>
    <row r="223" spans="5:5" x14ac:dyDescent="0.25">
      <c r="E223" s="18"/>
    </row>
    <row r="224" spans="5:5" x14ac:dyDescent="0.25">
      <c r="E224" s="18"/>
    </row>
    <row r="225" spans="5:5" x14ac:dyDescent="0.25">
      <c r="E225" s="18"/>
    </row>
    <row r="226" spans="5:5" x14ac:dyDescent="0.25">
      <c r="E226" s="18"/>
    </row>
    <row r="227" spans="5:5" x14ac:dyDescent="0.25">
      <c r="E227" s="18"/>
    </row>
    <row r="228" spans="5:5" x14ac:dyDescent="0.25">
      <c r="E228" s="18"/>
    </row>
    <row r="229" spans="5:5" x14ac:dyDescent="0.25">
      <c r="E229" s="18"/>
    </row>
    <row r="230" spans="5:5" x14ac:dyDescent="0.25">
      <c r="E230" s="18"/>
    </row>
    <row r="231" spans="5:5" x14ac:dyDescent="0.25">
      <c r="E231" s="18"/>
    </row>
    <row r="232" spans="5:5" x14ac:dyDescent="0.25">
      <c r="E232" s="18"/>
    </row>
    <row r="233" spans="5:5" x14ac:dyDescent="0.25">
      <c r="E233" s="18"/>
    </row>
    <row r="234" spans="5:5" x14ac:dyDescent="0.25">
      <c r="E234" s="18"/>
    </row>
    <row r="235" spans="5:5" x14ac:dyDescent="0.25">
      <c r="E235" s="18"/>
    </row>
    <row r="236" spans="5:5" x14ac:dyDescent="0.25">
      <c r="E236" s="18"/>
    </row>
    <row r="237" spans="5:5" x14ac:dyDescent="0.25">
      <c r="E237" s="18"/>
    </row>
    <row r="238" spans="5:5" x14ac:dyDescent="0.25">
      <c r="E238" s="18"/>
    </row>
    <row r="239" spans="5:5" x14ac:dyDescent="0.25">
      <c r="E239" s="18"/>
    </row>
    <row r="240" spans="5:5" x14ac:dyDescent="0.25">
      <c r="E240" s="18"/>
    </row>
    <row r="241" spans="5:5" x14ac:dyDescent="0.25">
      <c r="E241" s="18"/>
    </row>
    <row r="242" spans="5:5" x14ac:dyDescent="0.25">
      <c r="E242" s="18"/>
    </row>
    <row r="243" spans="5:5" x14ac:dyDescent="0.25">
      <c r="E243" s="18"/>
    </row>
    <row r="244" spans="5:5" x14ac:dyDescent="0.25">
      <c r="E244" s="18"/>
    </row>
    <row r="245" spans="5:5" x14ac:dyDescent="0.25">
      <c r="E245" s="18"/>
    </row>
    <row r="246" spans="5:5" x14ac:dyDescent="0.25">
      <c r="E246" s="18"/>
    </row>
    <row r="247" spans="5:5" x14ac:dyDescent="0.25">
      <c r="E247" s="18"/>
    </row>
    <row r="248" spans="5:5" x14ac:dyDescent="0.25">
      <c r="E248" s="18"/>
    </row>
    <row r="249" spans="5:5" x14ac:dyDescent="0.25">
      <c r="E249" s="18"/>
    </row>
    <row r="250" spans="5:5" x14ac:dyDescent="0.25">
      <c r="E250" s="18"/>
    </row>
    <row r="251" spans="5:5" x14ac:dyDescent="0.25">
      <c r="E251" s="18"/>
    </row>
    <row r="252" spans="5:5" x14ac:dyDescent="0.25">
      <c r="E252" s="18"/>
    </row>
    <row r="253" spans="5:5" x14ac:dyDescent="0.25">
      <c r="E253" s="18"/>
    </row>
    <row r="254" spans="5:5" x14ac:dyDescent="0.25">
      <c r="E254" s="18"/>
    </row>
    <row r="255" spans="5:5" x14ac:dyDescent="0.25">
      <c r="E255" s="18"/>
    </row>
    <row r="256" spans="5:5" x14ac:dyDescent="0.25">
      <c r="E256" s="18"/>
    </row>
    <row r="257" spans="5:5" x14ac:dyDescent="0.25">
      <c r="E257" s="18"/>
    </row>
    <row r="258" spans="5:5" x14ac:dyDescent="0.25">
      <c r="E258" s="18"/>
    </row>
    <row r="259" spans="5:5" x14ac:dyDescent="0.25">
      <c r="E259" s="18"/>
    </row>
    <row r="260" spans="5:5" x14ac:dyDescent="0.25">
      <c r="E260" s="18"/>
    </row>
    <row r="261" spans="5:5" x14ac:dyDescent="0.25">
      <c r="E261" s="1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TextBox2">
          <controlPr defaultSize="0" autoFill="0" autoLine="0" r:id="rId5">
            <anchor moveWithCells="1">
              <from>
                <xdr:col>1</xdr:col>
                <xdr:colOff>28575</xdr:colOff>
                <xdr:row>6</xdr:row>
                <xdr:rowOff>95250</xdr:rowOff>
              </from>
              <to>
                <xdr:col>2</xdr:col>
                <xdr:colOff>152400</xdr:colOff>
                <xdr:row>7</xdr:row>
                <xdr:rowOff>152400</xdr:rowOff>
              </to>
            </anchor>
          </controlPr>
        </control>
      </mc:Choice>
      <mc:Fallback>
        <control shapeId="3078" r:id="rId4" name="TextBox2"/>
      </mc:Fallback>
    </mc:AlternateContent>
    <mc:AlternateContent xmlns:mc="http://schemas.openxmlformats.org/markup-compatibility/2006">
      <mc:Choice Requires="x14">
        <control shapeId="3080" r:id="rId6" name="TextBox4">
          <controlPr defaultSize="0" autoFill="0" autoLine="0" r:id="rId7">
            <anchor moveWithCells="1">
              <from>
                <xdr:col>3</xdr:col>
                <xdr:colOff>0</xdr:colOff>
                <xdr:row>6</xdr:row>
                <xdr:rowOff>104775</xdr:rowOff>
              </from>
              <to>
                <xdr:col>5</xdr:col>
                <xdr:colOff>114300</xdr:colOff>
                <xdr:row>7</xdr:row>
                <xdr:rowOff>161925</xdr:rowOff>
              </to>
            </anchor>
          </controlPr>
        </control>
      </mc:Choice>
      <mc:Fallback>
        <control shapeId="3080" r:id="rId6" name="TextBox4"/>
      </mc:Fallback>
    </mc:AlternateContent>
    <mc:AlternateContent xmlns:mc="http://schemas.openxmlformats.org/markup-compatibility/2006">
      <mc:Choice Requires="x14">
        <control shapeId="3081" r:id="rId8" name="TextBox5">
          <controlPr defaultSize="0" autoFill="0" autoLine="0" r:id="rId9">
            <anchor moveWithCells="1">
              <from>
                <xdr:col>6</xdr:col>
                <xdr:colOff>0</xdr:colOff>
                <xdr:row>6</xdr:row>
                <xdr:rowOff>114300</xdr:rowOff>
              </from>
              <to>
                <xdr:col>7</xdr:col>
                <xdr:colOff>981075</xdr:colOff>
                <xdr:row>7</xdr:row>
                <xdr:rowOff>171450</xdr:rowOff>
              </to>
            </anchor>
          </controlPr>
        </control>
      </mc:Choice>
      <mc:Fallback>
        <control shapeId="3081" r:id="rId8" name="TextBox5"/>
      </mc:Fallback>
    </mc:AlternateContent>
    <mc:AlternateContent xmlns:mc="http://schemas.openxmlformats.org/markup-compatibility/2006">
      <mc:Choice Requires="x14">
        <control shapeId="3074" r:id="rId10" name="Drop Down 2">
          <controlPr defaultSize="0" autoLine="0" autoPict="0">
            <anchor moveWithCells="1">
              <from>
                <xdr:col>1</xdr:col>
                <xdr:colOff>19050</xdr:colOff>
                <xdr:row>8</xdr:row>
                <xdr:rowOff>133350</xdr:rowOff>
              </from>
              <to>
                <xdr:col>2</xdr:col>
                <xdr:colOff>142875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11" name="Drop Down 4">
          <controlPr defaultSize="0" autoLine="0" autoPict="0">
            <anchor moveWithCells="1">
              <from>
                <xdr:col>2</xdr:col>
                <xdr:colOff>857250</xdr:colOff>
                <xdr:row>8</xdr:row>
                <xdr:rowOff>142875</xdr:rowOff>
              </from>
              <to>
                <xdr:col>5</xdr:col>
                <xdr:colOff>76200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12" name="Drop Down 5">
          <controlPr defaultSize="0" autoLine="0" autoPict="0">
            <anchor moveWithCells="1">
              <from>
                <xdr:col>6</xdr:col>
                <xdr:colOff>9525</xdr:colOff>
                <xdr:row>8</xdr:row>
                <xdr:rowOff>133350</xdr:rowOff>
              </from>
              <to>
                <xdr:col>7</xdr:col>
                <xdr:colOff>952500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3" name="Button 12">
          <controlPr defaultSize="0" print="0" autoFill="0" autoPict="0" macro="[0]!Menu_Principal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333375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49525962-0A5B-4167-AC88-4AD0671459E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Source_Filaire</vt:lpstr>
      <vt:lpstr>Calcul_Filaire</vt:lpstr>
      <vt:lpstr>Menu Principal</vt:lpstr>
      <vt:lpstr>Tableau de bord Filaires</vt:lpstr>
      <vt:lpstr>Source</vt:lpstr>
      <vt:lpstr>Calcul</vt:lpstr>
      <vt:lpstr>Tableau de bord 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TECHER</dc:creator>
  <cp:lastModifiedBy>Valentin Bourreau</cp:lastModifiedBy>
  <dcterms:created xsi:type="dcterms:W3CDTF">2017-01-23T10:33:43Z</dcterms:created>
  <dcterms:modified xsi:type="dcterms:W3CDTF">2018-07-23T15:51:17Z</dcterms:modified>
</cp:coreProperties>
</file>